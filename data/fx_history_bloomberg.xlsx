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0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color rgb="00FFFFFF"/>
      <sz val="11"/>
    </font>
    <font>
      <b val="1"/>
    </font>
    <font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0" fontId="4" fillId="5" borderId="0" pivotButton="0" quotePrefix="0" xfId="0"/>
    <xf numFmtId="0" fontId="0" fillId="5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58" customWidth="1" min="4" max="4"/>
    <col width="14" customWidth="1" min="5" max="5"/>
    <col width="14" customWidth="1" min="6" max="6"/>
    <col width="14" customWidth="1" min="7" max="7"/>
  </cols>
  <sheetData>
    <row r="2">
      <c r="B2" s="1" t="inlineStr">
        <is>
          <t>Bloomberg FX history pull - control panel</t>
        </is>
      </c>
    </row>
    <row r="3">
      <c r="B3" s="2" t="inlineStr">
        <is>
          <t>Every parameter below feeds the =BDH() formulas on the Data sheet. Change a cell and Excel re-pulls.</t>
        </is>
      </c>
    </row>
    <row r="5">
      <c r="B5" s="3" t="inlineStr">
        <is>
          <t>Parameter</t>
        </is>
      </c>
      <c r="C5" s="3" t="inlineStr">
        <is>
          <t>Value</t>
        </is>
      </c>
      <c r="D5" s="3" t="inlineStr">
        <is>
          <t>Notes</t>
        </is>
      </c>
    </row>
    <row r="6">
      <c r="B6" s="4" t="inlineStr">
        <is>
          <t>Start date</t>
        </is>
      </c>
      <c r="C6" s="5" t="n">
        <v>36892</v>
      </c>
      <c r="D6" s="2" t="inlineStr">
        <is>
          <t>First observation requested.</t>
        </is>
      </c>
    </row>
    <row r="7">
      <c r="B7" s="4" t="inlineStr">
        <is>
          <t>End date</t>
        </is>
      </c>
      <c r="C7" s="5" t="n">
        <v>46387</v>
      </c>
      <c r="D7" s="2" t="inlineStr">
        <is>
          <t>Bloomberg returns data up to today; a future end date is harmless.</t>
        </is>
      </c>
    </row>
    <row r="8">
      <c r="B8" s="4" t="inlineStr">
        <is>
          <t>Field</t>
        </is>
      </c>
      <c r="C8" s="6" t="inlineStr">
        <is>
          <t>PX_LAST</t>
        </is>
      </c>
      <c r="D8" s="2" t="inlineStr">
        <is>
          <t>PX_LAST = closing spot. PX_BID / PX_ASK / PX_MID also valid.</t>
        </is>
      </c>
    </row>
    <row r="9">
      <c r="B9" s="4" t="inlineStr">
        <is>
          <t>Periodicity</t>
        </is>
      </c>
      <c r="C9" s="6" t="inlineStr">
        <is>
          <t>M</t>
        </is>
      </c>
      <c r="D9" s="2" t="inlineStr">
        <is>
          <t>D=daily, W=weekly, M=monthly, Q=quarterly, Y=yearly.</t>
        </is>
      </c>
    </row>
    <row r="10">
      <c r="B10" s="4" t="inlineStr">
        <is>
          <t>Days</t>
        </is>
      </c>
      <c r="C10" s="6" t="inlineStr">
        <is>
          <t>A</t>
        </is>
      </c>
      <c r="D10" s="2" t="inlineStr">
        <is>
          <t>A=all calendar days, W=weekdays, T=trading days only.</t>
        </is>
      </c>
    </row>
    <row r="11">
      <c r="B11" s="4" t="inlineStr">
        <is>
          <t>Fill</t>
        </is>
      </c>
      <c r="C11" s="6" t="inlineStr">
        <is>
          <t>P</t>
        </is>
      </c>
      <c r="D11" s="2" t="inlineStr">
        <is>
          <t>P=carry previous value over non-trading days, B=blank, NA=#N/A.</t>
        </is>
      </c>
    </row>
    <row r="12">
      <c r="B12" s="4" t="inlineStr">
        <is>
          <t>Sort</t>
        </is>
      </c>
      <c r="C12" s="6" t="inlineStr">
        <is>
          <t>A</t>
        </is>
      </c>
      <c r="D12" s="2" t="inlineStr">
        <is>
          <t>A=ascending (oldest first), D=descending.</t>
        </is>
      </c>
    </row>
    <row r="15">
      <c r="B15" s="3" t="inlineStr">
        <is>
          <t>Ticker</t>
        </is>
      </c>
      <c r="C15" s="3" t="inlineStr">
        <is>
          <t>Label</t>
        </is>
      </c>
      <c r="D15" s="3" t="inlineStr">
        <is>
          <t>Description</t>
        </is>
      </c>
    </row>
    <row r="16">
      <c r="B16" s="7" t="inlineStr">
        <is>
          <t>USDIDR Curncy</t>
        </is>
      </c>
      <c r="C16" s="4" t="inlineStr">
        <is>
          <t>USDIDR</t>
        </is>
      </c>
      <c r="D16" s="2" t="inlineStr">
        <is>
          <t>Indonesian rupiah per USD</t>
        </is>
      </c>
    </row>
    <row r="17">
      <c r="B17" s="7" t="inlineStr">
        <is>
          <t>USDTHB Curncy</t>
        </is>
      </c>
      <c r="C17" s="4" t="inlineStr">
        <is>
          <t>USDTHB</t>
        </is>
      </c>
      <c r="D17" s="2" t="inlineStr">
        <is>
          <t>Thai baht per USD</t>
        </is>
      </c>
    </row>
    <row r="18">
      <c r="B18" s="7" t="inlineStr">
        <is>
          <t>USDSGD Curncy</t>
        </is>
      </c>
      <c r="C18" s="4" t="inlineStr">
        <is>
          <t>USDSGD</t>
        </is>
      </c>
      <c r="D18" s="2" t="inlineStr">
        <is>
          <t>Singapore dollar per USD</t>
        </is>
      </c>
    </row>
    <row r="19">
      <c r="B19" s="7" t="inlineStr">
        <is>
          <t>USDVND Curncy</t>
        </is>
      </c>
      <c r="C19" s="4" t="inlineStr">
        <is>
          <t>USDVND</t>
        </is>
      </c>
      <c r="D19" s="2" t="inlineStr">
        <is>
          <t>Vietnamese dong per USD</t>
        </is>
      </c>
    </row>
    <row r="20">
      <c r="B20" s="8" t="inlineStr">
        <is>
          <t>EURUSD Curncy</t>
        </is>
      </c>
      <c r="C20" s="4" t="inlineStr">
        <is>
          <t>EURUSD</t>
        </is>
      </c>
      <c r="D20" s="2" t="inlineStr">
        <is>
          <t>USD per EUR - for EUR crosses (optional)</t>
        </is>
      </c>
    </row>
    <row r="22">
      <c r="B22" s="4" t="inlineStr">
        <is>
          <t>Quality check - reads whatever the Data sheet returned</t>
        </is>
      </c>
    </row>
    <row r="23">
      <c r="B23" s="3" t="inlineStr">
        <is>
          <t>Label</t>
        </is>
      </c>
      <c r="C23" s="3" t="inlineStr">
        <is>
          <t>Observations</t>
        </is>
      </c>
      <c r="D23" s="3" t="inlineStr">
        <is>
          <t>First date</t>
        </is>
      </c>
      <c r="E23" s="3" t="inlineStr">
        <is>
          <t>Last date</t>
        </is>
      </c>
      <c r="F23" s="3" t="inlineStr">
        <is>
          <t>Min</t>
        </is>
      </c>
      <c r="G23" s="3" t="inlineStr">
        <is>
          <t>Max</t>
        </is>
      </c>
    </row>
    <row r="24">
      <c r="B24" s="4" t="inlineStr">
        <is>
          <t>USDIDR</t>
        </is>
      </c>
      <c r="C24" s="9">
        <f>COUNT(Data!B:B)</f>
        <v/>
      </c>
      <c r="D24" s="10">
        <f>IF(C24=0,"",MIN(Data!A:A))</f>
        <v/>
      </c>
      <c r="E24" s="10">
        <f>IF(C24=0,"",MAX(Data!A:A))</f>
        <v/>
      </c>
      <c r="F24" s="11">
        <f>IF(C24=0,"",MIN(Data!B:B))</f>
        <v/>
      </c>
      <c r="G24" s="11">
        <f>IF(C24=0,"",MAX(Data!B:B))</f>
        <v/>
      </c>
    </row>
    <row r="25">
      <c r="B25" s="4" t="inlineStr">
        <is>
          <t>USDTHB</t>
        </is>
      </c>
      <c r="C25" s="9">
        <f>COUNT(Data!E:E)</f>
        <v/>
      </c>
      <c r="D25" s="10">
        <f>IF(C25=0,"",MIN(Data!D:D))</f>
        <v/>
      </c>
      <c r="E25" s="10">
        <f>IF(C25=0,"",MAX(Data!D:D))</f>
        <v/>
      </c>
      <c r="F25" s="12">
        <f>IF(C25=0,"",MIN(Data!E:E))</f>
        <v/>
      </c>
      <c r="G25" s="12">
        <f>IF(C25=0,"",MAX(Data!E:E))</f>
        <v/>
      </c>
    </row>
    <row r="26">
      <c r="B26" s="4" t="inlineStr">
        <is>
          <t>USDSGD</t>
        </is>
      </c>
      <c r="C26" s="9">
        <f>COUNT(Data!H:H)</f>
        <v/>
      </c>
      <c r="D26" s="10">
        <f>IF(C26=0,"",MIN(Data!G:G))</f>
        <v/>
      </c>
      <c r="E26" s="10">
        <f>IF(C26=0,"",MAX(Data!G:G))</f>
        <v/>
      </c>
      <c r="F26" s="12">
        <f>IF(C26=0,"",MIN(Data!H:H))</f>
        <v/>
      </c>
      <c r="G26" s="12">
        <f>IF(C26=0,"",MAX(Data!H:H))</f>
        <v/>
      </c>
    </row>
    <row r="27">
      <c r="B27" s="4" t="inlineStr">
        <is>
          <t>USDVND</t>
        </is>
      </c>
      <c r="C27" s="9">
        <f>COUNT(Data!K:K)</f>
        <v/>
      </c>
      <c r="D27" s="10">
        <f>IF(C27=0,"",MIN(Data!J:J))</f>
        <v/>
      </c>
      <c r="E27" s="10">
        <f>IF(C27=0,"",MAX(Data!J:J))</f>
        <v/>
      </c>
      <c r="F27" s="11">
        <f>IF(C27=0,"",MIN(Data!K:K))</f>
        <v/>
      </c>
      <c r="G27" s="11">
        <f>IF(C27=0,"",MAX(Data!K:K))</f>
        <v/>
      </c>
    </row>
    <row r="28">
      <c r="B28" s="4" t="inlineStr">
        <is>
          <t>EURUSD</t>
        </is>
      </c>
      <c r="C28" s="9">
        <f>COUNT(Data!N:N)</f>
        <v/>
      </c>
      <c r="D28" s="10">
        <f>IF(C28=0,"",MIN(Data!M:M))</f>
        <v/>
      </c>
      <c r="E28" s="10">
        <f>IF(C28=0,"",MAX(Data!M:M))</f>
        <v/>
      </c>
      <c r="F28" s="12">
        <f>IF(C28=0,"",MIN(Data!N:N))</f>
        <v/>
      </c>
      <c r="G28" s="12">
        <f>IF(C28=0,"",MAX(Data!N:N))</f>
        <v/>
      </c>
    </row>
    <row r="31">
      <c r="B31" s="2" t="inlineStr">
        <is>
          <t>Expected at monthly frequency over 2001-2026: ~296 observations per pair. A materially lower count means the pull was truncated or the ticker is wrong.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style="13" min="1" max="1"/>
    <col width="15" customWidth="1" style="14" min="2" max="2"/>
    <col width="3" customWidth="1" min="3" max="3"/>
    <col width="13" customWidth="1" style="13" min="4" max="4"/>
    <col width="15" customWidth="1" style="15" min="5" max="5"/>
    <col width="3" customWidth="1" min="6" max="6"/>
    <col width="13" customWidth="1" style="13" min="7" max="7"/>
    <col width="15" customWidth="1" style="15" min="8" max="8"/>
    <col width="3" customWidth="1" min="9" max="9"/>
    <col width="13" customWidth="1" style="13" min="10" max="10"/>
    <col width="15" customWidth="1" style="14" min="11" max="11"/>
    <col width="3" customWidth="1" min="12" max="12"/>
    <col width="13" customWidth="1" style="13" min="13" max="13"/>
    <col width="15" customWidth="1" style="15" min="14" max="14"/>
    <col width="3" customWidth="1" min="15" max="15"/>
  </cols>
  <sheetData>
    <row r="1">
      <c r="A1" s="1" t="inlineStr">
        <is>
          <t>Live Bloomberg pull</t>
        </is>
      </c>
    </row>
    <row r="2">
      <c r="A2" s="2" t="inlineStr">
        <is>
          <t>Each block is one =BDH() array formula anchored in row 5; it spills Date | Value downwards. Do not type below a formula - it will block the spill.</t>
        </is>
      </c>
    </row>
    <row r="3">
      <c r="A3" s="16" t="inlineStr">
        <is>
          <t>USDIDR</t>
        </is>
      </c>
      <c r="B3" s="17" t="n"/>
      <c r="D3" s="16" t="inlineStr">
        <is>
          <t>USDTHB</t>
        </is>
      </c>
      <c r="E3" s="17" t="n"/>
      <c r="G3" s="16" t="inlineStr">
        <is>
          <t>USDSGD</t>
        </is>
      </c>
      <c r="H3" s="17" t="n"/>
      <c r="J3" s="16" t="inlineStr">
        <is>
          <t>USDVND</t>
        </is>
      </c>
      <c r="K3" s="17" t="n"/>
      <c r="M3" s="18" t="inlineStr">
        <is>
          <t>EURUSD (optional)</t>
        </is>
      </c>
      <c r="N3" s="19" t="n"/>
    </row>
    <row r="4">
      <c r="A4" s="3" t="inlineStr">
        <is>
          <t>Date</t>
        </is>
      </c>
      <c r="B4" s="3" t="inlineStr">
        <is>
          <t>Indonesian rupiah per USD</t>
        </is>
      </c>
      <c r="D4" s="3" t="inlineStr">
        <is>
          <t>Date</t>
        </is>
      </c>
      <c r="E4" s="3" t="inlineStr">
        <is>
          <t>Thai baht per USD</t>
        </is>
      </c>
      <c r="G4" s="3" t="inlineStr">
        <is>
          <t>Date</t>
        </is>
      </c>
      <c r="H4" s="3" t="inlineStr">
        <is>
          <t>Singapore dollar per USD</t>
        </is>
      </c>
      <c r="J4" s="3" t="inlineStr">
        <is>
          <t>Date</t>
        </is>
      </c>
      <c r="K4" s="3" t="inlineStr">
        <is>
          <t>Vietnamese dong per USD</t>
        </is>
      </c>
      <c r="M4" s="3" t="inlineStr">
        <is>
          <t>Date</t>
        </is>
      </c>
      <c r="N4" s="3" t="inlineStr">
        <is>
          <t>USD per EUR - for EUR crosses</t>
        </is>
      </c>
    </row>
    <row r="5">
      <c r="A5">
        <f>BDH(Control!$B$16,Control!$C$8,Control!$C$6,Control!$C$7,"Dir=V","Per="&amp;Control!$C$9,"Days="&amp;Control!$C$10,"Fill="&amp;Control!$C$11,"Sort="&amp;Control!$C$12)</f>
        <v/>
      </c>
      <c r="D5">
        <f>BDH(Control!$B$17,Control!$C$8,Control!$C$6,Control!$C$7,"Dir=V","Per="&amp;Control!$C$9,"Days="&amp;Control!$C$10,"Fill="&amp;Control!$C$11,"Sort="&amp;Control!$C$12)</f>
        <v/>
      </c>
      <c r="G5">
        <f>BDH(Control!$B$18,Control!$C$8,Control!$C$6,Control!$C$7,"Dir=V","Per="&amp;Control!$C$9,"Days="&amp;Control!$C$10,"Fill="&amp;Control!$C$11,"Sort="&amp;Control!$C$12)</f>
        <v/>
      </c>
      <c r="J5">
        <f>BDH(Control!$B$19,Control!$C$8,Control!$C$6,Control!$C$7,"Dir=V","Per="&amp;Control!$C$9,"Days="&amp;Control!$C$10,"Fill="&amp;Control!$C$11,"Sort="&amp;Control!$C$12)</f>
        <v/>
      </c>
      <c r="M5">
        <f>BDH(Control!$B$20,Control!$C$8,Control!$C$6,Control!$C$7,"Dir=V","Per="&amp;Control!$C$9,"Days="&amp;Control!$C$10,"Fill="&amp;Control!$C$11,"Sort="&amp;Control!$C$12)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Read before trusting the numbers</t>
        </is>
      </c>
    </row>
    <row r="4">
      <c r="B4" s="20" t="inlineStr">
        <is>
          <t>Requirements</t>
        </is>
      </c>
    </row>
    <row r="5" ht="30" customHeight="1">
      <c r="B5" s="21" t="inlineStr">
        <is>
          <t>Needs the Bloomberg Excel Add-in and a logged-in terminal on the same machine. Without it every BDH cell shows #NAME? - that is the add-in missing, not a bad ticker.</t>
        </is>
      </c>
    </row>
    <row r="6" ht="30" customHeight="1">
      <c r="B6" s="21" t="inlineStr">
        <is>
          <t>If cells show #N/A Requesting Data..., the pull is still in flight. Ctrl+Alt+F9 forces a full recalc.</t>
        </is>
      </c>
    </row>
    <row r="7">
      <c r="B7" s="20" t="inlineStr">
        <is>
          <t>Quote direction</t>
        </is>
      </c>
    </row>
    <row r="8" ht="30" customHeight="1">
      <c r="B8" s="21" t="inlineStr">
        <is>
          <t>All four pairs are quoted as LOCAL CURRENCY PER ONE USD. A rising line means the USD strengthened and the Asian currency weakened - the opposite sign to a return on holding that currency. Invert before using as an FX return.</t>
        </is>
      </c>
    </row>
    <row r="9" ht="30" customHeight="1">
      <c r="B9" s="21" t="inlineStr">
        <is>
          <t>This model is EUR-base, so the USD crosses are an intermediate step. EURUSD Curncy quotes USD per 1 EUR, and USDxxx quotes xxx per 1 USD, so the EUR cross is the PRODUCT: EURIDR = USDIDR * EURUSD. Worked example: 16,000 * 1.08 = 17,280 IDR per EUR. Alternatively pull EURIDR / EURTHB / EURSGD / EURVND Curncy directly and skip the arithmetic.</t>
        </is>
      </c>
    </row>
    <row r="10">
      <c r="B10" s="20" t="inlineStr">
        <is>
          <t>Data quality</t>
        </is>
      </c>
    </row>
    <row r="11" ht="30" customHeight="1">
      <c r="B11" s="21" t="inlineStr">
        <is>
          <t>IDR and VND are non-deliverable. USDIDR / USDVND Curncy are onshore spot references; offshore NDF-implied rates can differ materially in stress. For NDF history use IHN+1M BGN Curncy (IDR) and VND+1M BGN Curncy.</t>
        </is>
      </c>
    </row>
    <row r="12" ht="30" customHeight="1">
      <c r="B12" s="21" t="inlineStr">
        <is>
          <t>USDVND history before roughly 2005 is thin and the rate was tightly managed in a narrow crawling band - low realised volatility there reflects the peg, not market conditions.</t>
        </is>
      </c>
    </row>
    <row r="13" ht="30" customHeight="1">
      <c r="B13" s="21" t="inlineStr">
        <is>
          <t>USDIDR from 2001 is entirely post-float (the rupiah floated in Aug 1997), so the series does not contain the Asian-crisis break. Starting in 2001 excludes it deliberately.</t>
        </is>
      </c>
    </row>
    <row r="14" ht="30" customHeight="1">
      <c r="B14" s="21" t="inlineStr">
        <is>
          <t>SGD is managed by MAS against an undisclosed trade-weighted band. Its realised vol understates what an unmanaged float would show.</t>
        </is>
      </c>
    </row>
    <row r="15" ht="30" customHeight="1">
      <c r="B15" s="21" t="inlineStr">
        <is>
          <t>Fill=P carries the last price over holidays. That suppresses realised volatility slightly at daily frequency. Set Fill=B and Days=T if you need true trading-day observations.</t>
        </is>
      </c>
    </row>
    <row r="16">
      <c r="B16" s="20" t="inlineStr">
        <is>
          <t>Tickers</t>
        </is>
      </c>
    </row>
    <row r="17" ht="30" customHeight="1">
      <c r="B17" s="21" t="inlineStr">
        <is>
          <t>USDIDR Curncy is the composite quote. For a single consistent contributor use USDIDR BGN Curncy (Bloomberg Generic). Composite vs BGN can differ in thin markets.</t>
        </is>
      </c>
    </row>
    <row r="18">
      <c r="B18" s="20" t="inlineStr">
        <is>
          <t>Provenance</t>
        </is>
      </c>
    </row>
    <row r="19" ht="30" customHeight="1">
      <c r="B19" s="21" t="inlineStr">
        <is>
          <t>Generated by tools/build_fx_bloomberg_sheet.py. Re-run that script to change tickers or layout; edit the Control sheet for dates, frequency and field.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2026-08-20T07:15:47Z</dcterms:created>
  <dcterms:modified xmlns:dcterms="http://purl.org/dc/terms/" xmlns:xsi="http://www.w3.org/2001/XMLSchema-instance" xsi:type="dcterms:W3CDTF">2026-08-20T07:15:47Z</dcterms:modified>
</cp:coreProperties>
</file>