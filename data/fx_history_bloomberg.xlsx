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f41001\AppData\Local\Microsoft\Windows\INetCache\Content.Outlook\1AYZKPV5\"/>
    </mc:Choice>
  </mc:AlternateContent>
  <xr:revisionPtr revIDLastSave="0" documentId="8_{ECFE9850-34E2-46EC-AA96-6B91F8E03CCE}" xr6:coauthVersionLast="47" xr6:coauthVersionMax="47" xr10:uidLastSave="{00000000-0000-0000-0000-000000000000}"/>
  <bookViews>
    <workbookView xWindow="2205" yWindow="2205" windowWidth="43200" windowHeight="17145" activeTab="1" xr2:uid="{00000000-000D-0000-FFFF-FFFF00000000}"/>
  </bookViews>
  <sheets>
    <sheet name="Control" sheetId="1" r:id="rId1"/>
    <sheet name="Data" sheetId="2" r:id="rId2"/>
    <sheet name="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" i="2" l="1" a="1"/>
  <c r="V5" i="2" a="1"/>
  <c r="S5" i="2" a="1"/>
  <c r="P5" i="2" a="1"/>
  <c r="J5" i="2" a="1"/>
  <c r="D5" i="2" a="1"/>
  <c r="G5" i="2" a="1"/>
  <c r="M5" i="2" a="1"/>
  <c r="A5" i="2" a="1"/>
  <c r="Y5" i="2" l="1"/>
  <c r="V5" i="2"/>
  <c r="S5" i="2"/>
  <c r="P5" i="2"/>
  <c r="C28" i="1"/>
  <c r="A5" i="2"/>
  <c r="C32" i="1"/>
  <c r="M5" i="2"/>
  <c r="C30" i="1"/>
  <c r="G5" i="2"/>
  <c r="D5" i="2"/>
  <c r="C29" i="1"/>
  <c r="J5" i="2"/>
  <c r="C31" i="1"/>
  <c r="F29" i="1" l="1"/>
  <c r="G29" i="1"/>
  <c r="D29" i="1"/>
  <c r="E29" i="1"/>
  <c r="D30" i="1"/>
  <c r="E30" i="1"/>
  <c r="F30" i="1"/>
  <c r="G30" i="1"/>
  <c r="G32" i="1"/>
  <c r="D32" i="1"/>
  <c r="E32" i="1"/>
  <c r="F32" i="1"/>
  <c r="D31" i="1"/>
  <c r="F31" i="1"/>
  <c r="G31" i="1"/>
  <c r="E31" i="1"/>
  <c r="G28" i="1"/>
  <c r="F28" i="1"/>
  <c r="E28" i="1"/>
  <c r="D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<sst xmlns="http://schemas.openxmlformats.org/spreadsheetml/2006/main" count="109" uniqueCount="82">
  <si>
    <t>Bloomberg FX history pull - control panel</t>
  </si>
  <si>
    <t>Every parameter below feeds the =BDH() formulas on the Data sheet. Change a cell and Excel re-pulls.</t>
  </si>
  <si>
    <t>Parameter</t>
  </si>
  <si>
    <t>Value</t>
  </si>
  <si>
    <t>Notes</t>
  </si>
  <si>
    <t>Start date</t>
  </si>
  <si>
    <t>First observation requested.</t>
  </si>
  <si>
    <t>End date</t>
  </si>
  <si>
    <t>Bloomberg returns data up to today; a future end date is harmless.</t>
  </si>
  <si>
    <t>Field</t>
  </si>
  <si>
    <t>PX_LAST</t>
  </si>
  <si>
    <t>PX_LAST = closing spot. PX_BID / PX_ASK / PX_MID also valid.</t>
  </si>
  <si>
    <t>Periodicity</t>
  </si>
  <si>
    <t>M</t>
  </si>
  <si>
    <t>D=daily, W=weekly, M=monthly, Q=quarterly, Y=yearly.</t>
  </si>
  <si>
    <t>Days</t>
  </si>
  <si>
    <t>A</t>
  </si>
  <si>
    <t>A=all calendar days, W=weekdays, T=trading days only.</t>
  </si>
  <si>
    <t>Fill</t>
  </si>
  <si>
    <t>P</t>
  </si>
  <si>
    <t>P=carry previous value over non-trading days, B=blank, NA=#N/A.</t>
  </si>
  <si>
    <t>Sort</t>
  </si>
  <si>
    <t>A=ascending (oldest first), D=descending.</t>
  </si>
  <si>
    <t>Ticker</t>
  </si>
  <si>
    <t>Label</t>
  </si>
  <si>
    <t>Description</t>
  </si>
  <si>
    <t>USDIDR Curncy</t>
  </si>
  <si>
    <t>USDIDR</t>
  </si>
  <si>
    <t>Indonesian rupiah per USD</t>
  </si>
  <si>
    <t>USDTHB Curncy</t>
  </si>
  <si>
    <t>USDTHB</t>
  </si>
  <si>
    <t>Thai baht per USD</t>
  </si>
  <si>
    <t>USDSGD Curncy</t>
  </si>
  <si>
    <t>USDSGD</t>
  </si>
  <si>
    <t>Singapore dollar per USD</t>
  </si>
  <si>
    <t>USDVND Curncy</t>
  </si>
  <si>
    <t>USDVND</t>
  </si>
  <si>
    <t>Vietnamese dong per USD</t>
  </si>
  <si>
    <t>EURUSD Curncy</t>
  </si>
  <si>
    <t>EURUSD</t>
  </si>
  <si>
    <t>USD per EUR - for EUR crosses (optional)</t>
  </si>
  <si>
    <t>Quality check - reads whatever the Data sheet returned</t>
  </si>
  <si>
    <t>Observations</t>
  </si>
  <si>
    <t>First date</t>
  </si>
  <si>
    <t>Last date</t>
  </si>
  <si>
    <t>Min</t>
  </si>
  <si>
    <t>Max</t>
  </si>
  <si>
    <t>Expected at monthly frequency over 2001-2026: ~296 observations per pair. A materially lower count means the pull was truncated or the ticker is wrong.</t>
  </si>
  <si>
    <t>Live Bloomberg pull</t>
  </si>
  <si>
    <t>Each block is one =BDH() array formula anchored in row 5; it spills Date | Value downwards. Do not type below a formula - it will block the spill.</t>
  </si>
  <si>
    <t>EURUSD (optional)</t>
  </si>
  <si>
    <t>Date</t>
  </si>
  <si>
    <t>USD per EUR - for EUR crosses</t>
  </si>
  <si>
    <t>Read before trusting the numbers</t>
  </si>
  <si>
    <t>Requirements</t>
  </si>
  <si>
    <t>Needs the Bloomberg Excel Add-in and a logged-in terminal on the same machine. Without it every BDH cell shows #NAME? - that is the add-in missing, not a bad ticker.</t>
  </si>
  <si>
    <t>If cells show #N/A Requesting Data..., the pull is still in flight. Ctrl+Alt+F9 forces a full recalc.</t>
  </si>
  <si>
    <t>Quote direction</t>
  </si>
  <si>
    <t>All four pairs are quoted as LOCAL CURRENCY PER ONE USD. A rising line means the USD strengthened and the Asian currency weakened - the opposite sign to a return on holding that currency. Invert before using as an FX return.</t>
  </si>
  <si>
    <t>This model is EUR-base, so the USD crosses are an intermediate step. EURUSD Curncy quotes USD per 1 EUR, and USDxxx quotes xxx per 1 USD, so the EUR cross is the PRODUCT: EURIDR = USDIDR * EURUSD. Worked example: 16,000 * 1.08 = 17,280 IDR per EUR. Alternatively pull EURIDR / EURTHB / EURSGD / EURVND Curncy directly and skip the arithmetic.</t>
  </si>
  <si>
    <t>Data quality</t>
  </si>
  <si>
    <t>IDR and VND are non-deliverable. USDIDR / USDVND Curncy are onshore spot references; offshore NDF-implied rates can differ materially in stress. For NDF history use IHN+1M BGN Curncy (IDR) and VND+1M BGN Curncy.</t>
  </si>
  <si>
    <t>USDVND history before roughly 2005 is thin and the rate was tightly managed in a narrow crawling band - low realised volatility there reflects the peg, not market conditions.</t>
  </si>
  <si>
    <t>USDIDR from 2001 is entirely post-float (the rupiah floated in Aug 1997), so the series does not contain the Asian-crisis break. Starting in 2001 excludes it deliberately.</t>
  </si>
  <si>
    <t>SGD is managed by MAS against an undisclosed trade-weighted band. Its realised vol understates what an unmanaged float would show.</t>
  </si>
  <si>
    <t>Fill=P carries the last price over holidays. That suppresses realised volatility slightly at daily frequency. Set Fill=B and Days=T if you need true trading-day observations.</t>
  </si>
  <si>
    <t>Tickers</t>
  </si>
  <si>
    <t>USDIDR Curncy is the composite quote. For a single consistent contributor use USDIDR BGN Curncy (Bloomberg Generic). Composite vs BGN can differ in thin markets.</t>
  </si>
  <si>
    <t>Provenance</t>
  </si>
  <si>
    <t>Generated by tools/build_fx_bloomberg_sheet.py. Re-run that script to change tickers or layout; edit the Control sheet for dates, frequency and field.</t>
  </si>
  <si>
    <t>USDCHF</t>
  </si>
  <si>
    <t>USDCAD</t>
  </si>
  <si>
    <t>USDAUD</t>
  </si>
  <si>
    <t>USDNZD</t>
  </si>
  <si>
    <t>USDCHF Curncy</t>
  </si>
  <si>
    <t>USDCAD Curncy</t>
  </si>
  <si>
    <t>USDAUD Curncy</t>
  </si>
  <si>
    <t>USDNZD Curncy</t>
  </si>
  <si>
    <t>Swiss Frank per USD</t>
  </si>
  <si>
    <t>Canadian Dollar per USD</t>
  </si>
  <si>
    <t>Aussie dollar per USD</t>
  </si>
  <si>
    <t>New Zealand dollar per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</si>
</sst>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.0000"/>
  </numFmts>
  <fonts count="6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0" fillId="0" borderId="1" xfId="0" applyBorder="1"/>
    <xf numFmtId="16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0" fontId="4" fillId="5" borderId="0" xfId="0" applyFont="1" applyFill="1"/>
    <xf numFmtId="0" fontId="0" fillId="5" borderId="0" xfId="0" applyFill="1"/>
    <xf numFmtId="0" fontId="4" fillId="4" borderId="0" xfId="0" applyFont="1" applyFill="1"/>
    <xf numFmtId="0" fontId="0" fillId="4" borderId="0" xfId="0" applyFill="1"/>
    <xf numFmtId="0" fontId="5" fillId="0" borderId="0" xfId="0" applyFont="1"/>
    <xf numFmtId="0" fontId="0" fillId="0" borderId="0" xfId="0" applyAlignment="1">
      <alignment vertical="top" wrapText="1"/>
    </xf>
    <xf numFmtId="14" fontId="0" fillId="0" borderId="0" xfId="0" applyNumberFormat="1"/>
    <xf numFmtId="0" fontId="0" fillId="4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BDH|14492149826428950178</stp>
        <tr r="P5" s="2"/>
      </tp>
      <tp t="s">
        <v>#N/A N/A</v>
        <stp/>
        <stp>BDH|15729861382779996371</stp>
        <tr r="S5" s="2"/>
      </tp>
      <tp t="s">
        <v>#N/A N/A</v>
        <stp/>
        <stp>BDH|14873467006403385115</stp>
        <tr r="D5" s="2"/>
      </tp>
      <tp t="s">
        <v>#N/A N/A</v>
        <stp/>
        <stp>BDH|13862016601065452659</stp>
        <tr r="M5" s="2"/>
      </tp>
    </main>
    <main first="bofaddin.rtdserver">
      <tp t="s">
        <v>#N/A N/A</v>
        <stp/>
        <stp>BDH|6860826314366149583</stp>
        <tr r="G5" s="2"/>
      </tp>
      <tp t="s">
        <v>#N/A N/A</v>
        <stp/>
        <stp>BDH|8503820216637213223</stp>
        <tr r="J5" s="2"/>
      </tp>
      <tp t="s">
        <v>#N/A N/A</v>
        <stp/>
        <stp>BDH|7210655638424015381</stp>
        <tr r="V5" s="2"/>
      </tp>
      <tp t="s">
        <v>#N/A N/A</v>
        <stp/>
        <stp>BDH|5691457450916524040</stp>
        <tr r="Y5" s="2"/>
      </tp>
      <tp t="s">
        <v>#N/A N/A</v>
        <stp/>
        <stp>BDH|7822009712612629692</stp>
        <tr r="A5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35"/>
  <sheetViews>
    <sheetView showGridLines="0" workbookViewId="0">
      <selection activeCell="B21" sqref="B21"/>
    </sheetView>
  </sheetViews>
  <sheetFormatPr defaultRowHeight="15" x14ac:dyDescent="0.25"/>
  <cols>
    <col min="1" max="1" width="3" customWidth="1"/>
    <col min="2" max="2" width="22" customWidth="1"/>
    <col min="3" max="3" width="16" customWidth="1"/>
    <col min="4" max="4" width="58" customWidth="1"/>
    <col min="5" max="7" width="14" customWidth="1"/>
  </cols>
  <sheetData>
    <row r="2" spans="2:4" ht="18.75" x14ac:dyDescent="0.3">
      <c r="B2" s="1" t="s">
        <v>0</v>
      </c>
    </row>
    <row r="3" spans="2:4" x14ac:dyDescent="0.25">
      <c r="B3" s="2" t="s">
        <v>1</v>
      </c>
    </row>
    <row r="5" spans="2:4" x14ac:dyDescent="0.25">
      <c r="B5" s="3" t="s">
        <v>2</v>
      </c>
      <c r="C5" s="3" t="s">
        <v>3</v>
      </c>
      <c r="D5" s="3" t="s">
        <v>4</v>
      </c>
    </row>
    <row r="6" spans="2:4" x14ac:dyDescent="0.25">
      <c r="B6" s="4" t="s">
        <v>5</v>
      </c>
      <c r="C6" s="5">
        <v>36892</v>
      </c>
      <c r="D6" s="2" t="s">
        <v>6</v>
      </c>
    </row>
    <row r="7" spans="2:4" x14ac:dyDescent="0.25">
      <c r="B7" s="4" t="s">
        <v>7</v>
      </c>
      <c r="C7" s="5">
        <v>46387</v>
      </c>
      <c r="D7" s="2" t="s">
        <v>8</v>
      </c>
    </row>
    <row r="8" spans="2:4" x14ac:dyDescent="0.25">
      <c r="B8" s="4" t="s">
        <v>9</v>
      </c>
      <c r="C8" s="6" t="s">
        <v>10</v>
      </c>
      <c r="D8" s="2" t="s">
        <v>11</v>
      </c>
    </row>
    <row r="9" spans="2:4" x14ac:dyDescent="0.25">
      <c r="B9" s="4" t="s">
        <v>12</v>
      </c>
      <c r="C9" s="6" t="s">
        <v>13</v>
      </c>
      <c r="D9" s="2" t="s">
        <v>14</v>
      </c>
    </row>
    <row r="10" spans="2:4" x14ac:dyDescent="0.25">
      <c r="B10" s="4" t="s">
        <v>15</v>
      </c>
      <c r="C10" s="6" t="s">
        <v>16</v>
      </c>
      <c r="D10" s="2" t="s">
        <v>17</v>
      </c>
    </row>
    <row r="11" spans="2:4" x14ac:dyDescent="0.25">
      <c r="B11" s="4" t="s">
        <v>18</v>
      </c>
      <c r="C11" s="6" t="s">
        <v>19</v>
      </c>
      <c r="D11" s="2" t="s">
        <v>20</v>
      </c>
    </row>
    <row r="12" spans="2:4" x14ac:dyDescent="0.25">
      <c r="B12" s="4" t="s">
        <v>21</v>
      </c>
      <c r="C12" s="6" t="s">
        <v>16</v>
      </c>
      <c r="D12" s="2" t="s">
        <v>22</v>
      </c>
    </row>
    <row r="15" spans="2:4" x14ac:dyDescent="0.25">
      <c r="B15" s="3" t="s">
        <v>23</v>
      </c>
      <c r="C15" s="3" t="s">
        <v>24</v>
      </c>
      <c r="D15" s="3" t="s">
        <v>25</v>
      </c>
    </row>
    <row r="16" spans="2:4" x14ac:dyDescent="0.25">
      <c r="B16" s="7" t="s">
        <v>26</v>
      </c>
      <c r="C16" s="4" t="s">
        <v>27</v>
      </c>
      <c r="D16" s="2" t="s">
        <v>28</v>
      </c>
    </row>
    <row r="17" spans="2:7" x14ac:dyDescent="0.25">
      <c r="B17" s="7" t="s">
        <v>29</v>
      </c>
      <c r="C17" s="4" t="s">
        <v>30</v>
      </c>
      <c r="D17" s="2" t="s">
        <v>31</v>
      </c>
    </row>
    <row r="18" spans="2:7" x14ac:dyDescent="0.25">
      <c r="B18" s="7" t="s">
        <v>32</v>
      </c>
      <c r="C18" s="4" t="s">
        <v>33</v>
      </c>
      <c r="D18" s="2" t="s">
        <v>34</v>
      </c>
    </row>
    <row r="19" spans="2:7" x14ac:dyDescent="0.25">
      <c r="B19" s="7" t="s">
        <v>35</v>
      </c>
      <c r="C19" s="4" t="s">
        <v>36</v>
      </c>
      <c r="D19" s="2" t="s">
        <v>37</v>
      </c>
    </row>
    <row r="20" spans="2:7" x14ac:dyDescent="0.25">
      <c r="B20" s="8" t="s">
        <v>38</v>
      </c>
      <c r="C20" s="4" t="s">
        <v>39</v>
      </c>
      <c r="D20" s="2" t="s">
        <v>40</v>
      </c>
    </row>
    <row r="21" spans="2:7" x14ac:dyDescent="0.25">
      <c r="B21" s="23" t="s">
        <v>74</v>
      </c>
      <c r="C21" s="4" t="s">
        <v>70</v>
      </c>
      <c r="D21" s="2" t="s">
        <v>78</v>
      </c>
    </row>
    <row r="22" spans="2:7" x14ac:dyDescent="0.25">
      <c r="B22" s="23" t="s">
        <v>75</v>
      </c>
      <c r="C22" s="4" t="s">
        <v>71</v>
      </c>
      <c r="D22" s="2" t="s">
        <v>79</v>
      </c>
    </row>
    <row r="23" spans="2:7" x14ac:dyDescent="0.25">
      <c r="B23" s="23" t="s">
        <v>76</v>
      </c>
      <c r="C23" s="4" t="s">
        <v>72</v>
      </c>
      <c r="D23" s="2" t="s">
        <v>80</v>
      </c>
    </row>
    <row r="24" spans="2:7" x14ac:dyDescent="0.25">
      <c r="B24" s="23" t="s">
        <v>77</v>
      </c>
      <c r="C24" s="4" t="s">
        <v>73</v>
      </c>
      <c r="D24" s="2" t="s">
        <v>81</v>
      </c>
    </row>
    <row r="26" spans="2:7" x14ac:dyDescent="0.25">
      <c r="B26" s="4" t="s">
        <v>41</v>
      </c>
    </row>
    <row r="27" spans="2:7" x14ac:dyDescent="0.25">
      <c r="B27" s="3" t="s">
        <v>24</v>
      </c>
      <c r="C27" s="3" t="s">
        <v>42</v>
      </c>
      <c r="D27" s="3" t="s">
        <v>43</v>
      </c>
      <c r="E27" s="3" t="s">
        <v>44</v>
      </c>
      <c r="F27" s="3" t="s">
        <v>45</v>
      </c>
      <c r="G27" s="3" t="s">
        <v>46</v>
      </c>
    </row>
    <row r="28" spans="2:7" x14ac:dyDescent="0.25">
      <c r="B28" s="4" t="s">
        <v>27</v>
      </c>
      <c r="C28" s="9">
        <f>COUNT(Data!B:B)</f>
        <v>312</v>
      </c>
      <c r="D28" s="10">
        <f>IF(C28=0,"",MIN(Data!A:A))</f>
        <v>36922</v>
      </c>
      <c r="E28" s="10">
        <f>IF(C28=0,"",MAX(Data!A:A))</f>
        <v>46387</v>
      </c>
      <c r="F28" s="11">
        <f>IF(C28=0,"",MIN(Data!B:B))</f>
        <v>8275</v>
      </c>
      <c r="G28" s="11">
        <f>IF(C28=0,"",MAX(Data!B:B))</f>
        <v>18022</v>
      </c>
    </row>
    <row r="29" spans="2:7" x14ac:dyDescent="0.25">
      <c r="B29" s="4" t="s">
        <v>30</v>
      </c>
      <c r="C29" s="9">
        <f>COUNT(Data!E:E)</f>
        <v>312</v>
      </c>
      <c r="D29" s="10">
        <f>IF(C29=0,"",MIN(Data!D:D))</f>
        <v>36922</v>
      </c>
      <c r="E29" s="10">
        <f>IF(C29=0,"",MAX(Data!D:D))</f>
        <v>46387</v>
      </c>
      <c r="F29" s="12">
        <f>IF(C29=0,"",MIN(Data!E:E))</f>
        <v>29.265000000000001</v>
      </c>
      <c r="G29" s="12">
        <f>IF(C29=0,"",MAX(Data!E:E))</f>
        <v>45.695</v>
      </c>
    </row>
    <row r="30" spans="2:7" x14ac:dyDescent="0.25">
      <c r="B30" s="4" t="s">
        <v>33</v>
      </c>
      <c r="C30" s="9">
        <f>COUNT(Data!H:H)</f>
        <v>312</v>
      </c>
      <c r="D30" s="10">
        <f>IF(C30=0,"",MIN(Data!G:G))</f>
        <v>36922</v>
      </c>
      <c r="E30" s="10">
        <f>IF(C30=0,"",MAX(Data!G:G))</f>
        <v>46387</v>
      </c>
      <c r="F30" s="12">
        <f>IF(C30=0,"",MIN(Data!H:H))</f>
        <v>1.2033</v>
      </c>
      <c r="G30" s="12">
        <f>IF(C30=0,"",MAX(Data!H:H))</f>
        <v>1.845</v>
      </c>
    </row>
    <row r="31" spans="2:7" x14ac:dyDescent="0.25">
      <c r="B31" s="4" t="s">
        <v>36</v>
      </c>
      <c r="C31" s="9">
        <f>COUNT(Data!K:K)</f>
        <v>312</v>
      </c>
      <c r="D31" s="10">
        <f>IF(C31=0,"",MIN(Data!J:J))</f>
        <v>36922</v>
      </c>
      <c r="E31" s="10">
        <f>IF(C31=0,"",MAX(Data!J:J))</f>
        <v>46387</v>
      </c>
      <c r="F31" s="11">
        <f>IF(C31=0,"",MIN(Data!K:K))</f>
        <v>14544</v>
      </c>
      <c r="G31" s="11">
        <f>IF(C31=0,"",MAX(Data!K:K))</f>
        <v>26425</v>
      </c>
    </row>
    <row r="32" spans="2:7" x14ac:dyDescent="0.25">
      <c r="B32" s="4" t="s">
        <v>39</v>
      </c>
      <c r="C32" s="9">
        <f>COUNT(Data!N:N)</f>
        <v>312</v>
      </c>
      <c r="D32" s="10">
        <f>IF(C32=0,"",MIN(Data!M:M))</f>
        <v>36922</v>
      </c>
      <c r="E32" s="10">
        <f>IF(C32=0,"",MAX(Data!M:M))</f>
        <v>46387</v>
      </c>
      <c r="F32" s="12">
        <f>IF(C32=0,"",MIN(Data!N:N))</f>
        <v>0.84570000000000001</v>
      </c>
      <c r="G32" s="12">
        <f>IF(C32=0,"",MAX(Data!N:N))</f>
        <v>1.5809</v>
      </c>
    </row>
    <row r="35" spans="2:2" x14ac:dyDescent="0.25">
      <c r="B35" s="2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16"/>
  <sheetViews>
    <sheetView showGridLines="0" tabSelected="1" workbookViewId="0">
      <pane ySplit="4" topLeftCell="A5" activePane="bottomLeft" state="frozen"/>
      <selection pane="bottomLeft" activeCell="S10" sqref="S10"/>
    </sheetView>
  </sheetViews>
  <sheetFormatPr defaultRowHeight="15" x14ac:dyDescent="0.25"/>
  <cols>
    <col min="1" max="1" width="13" style="13" customWidth="1"/>
    <col min="2" max="2" width="15" style="14" customWidth="1"/>
    <col min="3" max="3" width="3" customWidth="1"/>
    <col min="4" max="4" width="13" style="13" customWidth="1"/>
    <col min="5" max="5" width="15" style="15" customWidth="1"/>
    <col min="6" max="6" width="3" customWidth="1"/>
    <col min="7" max="7" width="13" style="13" customWidth="1"/>
    <col min="8" max="8" width="15" style="15" customWidth="1"/>
    <col min="9" max="9" width="3" customWidth="1"/>
    <col min="10" max="10" width="13" style="13" customWidth="1"/>
    <col min="11" max="11" width="15" style="14" customWidth="1"/>
    <col min="12" max="12" width="3" customWidth="1"/>
    <col min="13" max="13" width="13" style="13" customWidth="1"/>
    <col min="14" max="14" width="15" style="15" customWidth="1"/>
    <col min="15" max="15" width="3" customWidth="1"/>
    <col min="16" max="16" width="13" style="13" customWidth="1"/>
    <col min="17" max="17" width="15" style="15" customWidth="1"/>
    <col min="18" max="18" width="3" customWidth="1"/>
    <col min="19" max="19" width="13" style="13" customWidth="1"/>
    <col min="20" max="20" width="15" style="15" customWidth="1"/>
    <col min="21" max="21" width="3" customWidth="1"/>
    <col min="22" max="22" width="13" style="13" customWidth="1"/>
    <col min="23" max="23" width="15" style="15" customWidth="1"/>
    <col min="24" max="24" width="3" customWidth="1"/>
    <col min="25" max="25" width="13" style="13" customWidth="1"/>
    <col min="26" max="26" width="15" style="15" customWidth="1"/>
    <col min="27" max="27" width="3" customWidth="1"/>
  </cols>
  <sheetData>
    <row r="1" spans="1:26" ht="18.75" x14ac:dyDescent="0.3">
      <c r="A1" s="1" t="s">
        <v>48</v>
      </c>
    </row>
    <row r="2" spans="1:26" x14ac:dyDescent="0.25">
      <c r="A2" s="2" t="s">
        <v>49</v>
      </c>
    </row>
    <row r="3" spans="1:26" x14ac:dyDescent="0.25">
      <c r="A3" s="16" t="s">
        <v>27</v>
      </c>
      <c r="B3" s="17"/>
      <c r="D3" s="16" t="s">
        <v>30</v>
      </c>
      <c r="E3" s="17"/>
      <c r="G3" s="16" t="s">
        <v>33</v>
      </c>
      <c r="H3" s="17"/>
      <c r="J3" s="16" t="s">
        <v>36</v>
      </c>
      <c r="K3" s="17"/>
      <c r="M3" s="18" t="s">
        <v>50</v>
      </c>
      <c r="N3" s="19"/>
      <c r="P3" s="16" t="s">
        <v>70</v>
      </c>
      <c r="Q3" s="19"/>
      <c r="S3" s="16" t="s">
        <v>71</v>
      </c>
      <c r="T3" s="19"/>
      <c r="V3" s="16" t="s">
        <v>72</v>
      </c>
      <c r="W3" s="19"/>
      <c r="Y3" s="16" t="s">
        <v>73</v>
      </c>
      <c r="Z3" s="19"/>
    </row>
    <row r="4" spans="1:26" x14ac:dyDescent="0.25">
      <c r="A4" s="3" t="s">
        <v>51</v>
      </c>
      <c r="B4" s="3" t="s">
        <v>28</v>
      </c>
      <c r="D4" s="3" t="s">
        <v>51</v>
      </c>
      <c r="E4" s="3" t="s">
        <v>31</v>
      </c>
      <c r="G4" s="3" t="s">
        <v>51</v>
      </c>
      <c r="H4" s="3" t="s">
        <v>34</v>
      </c>
      <c r="J4" s="3" t="s">
        <v>51</v>
      </c>
      <c r="K4" s="3" t="s">
        <v>37</v>
      </c>
      <c r="M4" s="3" t="s">
        <v>51</v>
      </c>
      <c r="N4" s="3" t="s">
        <v>52</v>
      </c>
      <c r="P4" s="3" t="s">
        <v>51</v>
      </c>
      <c r="Q4" s="3"/>
      <c r="S4" s="3" t="s">
        <v>51</v>
      </c>
      <c r="T4" s="3"/>
      <c r="V4" s="3" t="s">
        <v>51</v>
      </c>
      <c r="W4" s="3"/>
      <c r="Y4" s="3" t="s">
        <v>51</v>
      </c>
      <c r="Z4" s="3"/>
    </row>
    <row r="5" spans="1:26" x14ac:dyDescent="0.25">
      <c r="A5" s="22" cm="1">
        <f t="array" ref="A5:B316">_xll.BDH(Control!$B$16,Control!$C$8,Control!$C$6,Control!$C$7,"Dir=V","Per="&amp;Control!$C$9,"Days="&amp;Control!$C$10,"Fill="&amp;Control!$C$11,"Sort="&amp;Control!$C$12)</f>
        <v>36922</v>
      </c>
      <c r="B5" s="14">
        <v>9440</v>
      </c>
      <c r="D5" s="22" cm="1">
        <f t="array" ref="D5:E316">_xll.BDH(Control!$B$17,Control!$C$8,Control!$C$6,Control!$C$7,"Dir=V","Per="&amp;Control!$C$9,"Days="&amp;Control!$C$10,"Fill="&amp;Control!$C$11,"Sort="&amp;Control!$C$12)</f>
        <v>36922</v>
      </c>
      <c r="E5" s="15">
        <v>42.49</v>
      </c>
      <c r="G5" s="22" cm="1">
        <f t="array" ref="G5:H316">_xll.BDH(Control!$B$18,Control!$C$8,Control!$C$6,Control!$C$7,"Dir=V","Per="&amp;Control!$C$9,"Days="&amp;Control!$C$10,"Fill="&amp;Control!$C$11,"Sort="&amp;Control!$C$12)</f>
        <v>36922</v>
      </c>
      <c r="H5" s="15">
        <v>1.7427999999999999</v>
      </c>
      <c r="J5" s="22" cm="1">
        <f t="array" ref="J5:K316">_xll.BDH(Control!$B$19,Control!$C$8,Control!$C$6,Control!$C$7,"Dir=V","Per="&amp;Control!$C$9,"Days="&amp;Control!$C$10,"Fill="&amp;Control!$C$11,"Sort="&amp;Control!$C$12)</f>
        <v>36922</v>
      </c>
      <c r="K5" s="14">
        <v>14545</v>
      </c>
      <c r="M5" s="22" cm="1">
        <f t="array" ref="M5:N316">_xll.BDH(Control!$B$20,Control!$C$8,Control!$C$6,Control!$C$7,"Dir=V","Per="&amp;Control!$C$9,"Days="&amp;Control!$C$10,"Fill="&amp;Control!$C$11,"Sort="&amp;Control!$C$12)</f>
        <v>36922</v>
      </c>
      <c r="N5" s="15">
        <v>0.93020000000000003</v>
      </c>
      <c r="P5" s="22" cm="1">
        <f t="array" ref="P5:Q316">_xll.BDH(Control!$B$21,Control!$C$8,Control!$C$6,Control!$C$7,"Dir=V","Per="&amp;Control!$C$9,"Days="&amp;Control!$C$10,"Fill="&amp;Control!$C$11,"Sort="&amp;Control!$C$12)</f>
        <v>36922</v>
      </c>
      <c r="Q5" s="15">
        <v>1.6418999999999999</v>
      </c>
      <c r="S5" s="22" cm="1">
        <f t="array" ref="S5:T316">_xll.BDH(Control!$B$22,Control!$C$8,Control!$C$6,Control!$C$7,"Dir=V","Per="&amp;Control!$C$9,"Days="&amp;Control!$C$10,"Fill="&amp;Control!$C$11,"Sort="&amp;Control!$C$12)</f>
        <v>36922</v>
      </c>
      <c r="T5" s="15">
        <v>1.4992000000000001</v>
      </c>
      <c r="V5" s="22" cm="1">
        <f t="array" ref="V5:W316">_xll.BDH(Control!$B$23,Control!$C$8,Control!$C$6,Control!$C$7,"Dir=V","Per="&amp;Control!$C$9,"Days="&amp;Control!$C$10,"Fill="&amp;Control!$C$11,"Sort="&amp;Control!$C$12)</f>
        <v>36922</v>
      </c>
      <c r="W5" s="15">
        <v>1.8167</v>
      </c>
      <c r="Y5" s="22" cm="1">
        <f t="array" ref="Y5:Z316">_xll.BDH(Control!$B$24,Control!$C$8,Control!$C$6,Control!$C$7,"Dir=V","Per="&amp;Control!$C$9,"Days="&amp;Control!$C$10,"Fill="&amp;Control!$C$11,"Sort="&amp;Control!$C$12)</f>
        <v>36922</v>
      </c>
      <c r="Z5" s="15">
        <v>2.2530000000000001</v>
      </c>
    </row>
    <row r="6" spans="1:26" x14ac:dyDescent="0.25">
      <c r="A6" s="22">
        <v>36950</v>
      </c>
      <c r="B6" s="14">
        <v>9855</v>
      </c>
      <c r="D6" s="22">
        <v>36950</v>
      </c>
      <c r="E6" s="15">
        <v>43.094999999999999</v>
      </c>
      <c r="G6" s="22">
        <v>36950</v>
      </c>
      <c r="H6" s="15">
        <v>1.7444999999999999</v>
      </c>
      <c r="J6" s="22">
        <v>36950</v>
      </c>
      <c r="K6" s="14">
        <v>14564</v>
      </c>
      <c r="M6" s="22">
        <v>36950</v>
      </c>
      <c r="N6" s="15">
        <v>0.92259999999999998</v>
      </c>
      <c r="P6" s="22">
        <v>36950</v>
      </c>
      <c r="Q6" s="15">
        <v>1.6679999999999999</v>
      </c>
      <c r="S6" s="22">
        <v>36950</v>
      </c>
      <c r="T6" s="15">
        <v>1.5329999999999999</v>
      </c>
      <c r="V6" s="22">
        <v>36950</v>
      </c>
      <c r="W6" s="15">
        <v>1.901</v>
      </c>
      <c r="Y6" s="22">
        <v>36950</v>
      </c>
      <c r="Z6" s="15">
        <v>2.3231999999999999</v>
      </c>
    </row>
    <row r="7" spans="1:26" x14ac:dyDescent="0.25">
      <c r="A7" s="22">
        <v>36980</v>
      </c>
      <c r="B7" s="14">
        <v>10425</v>
      </c>
      <c r="D7" s="22">
        <v>36980</v>
      </c>
      <c r="E7" s="15">
        <v>45.015000000000001</v>
      </c>
      <c r="G7" s="22">
        <v>36980</v>
      </c>
      <c r="H7" s="15">
        <v>1.8048</v>
      </c>
      <c r="J7" s="22">
        <v>36980</v>
      </c>
      <c r="K7" s="14">
        <v>14544</v>
      </c>
      <c r="M7" s="22">
        <v>36980</v>
      </c>
      <c r="N7" s="15">
        <v>0.87670000000000003</v>
      </c>
      <c r="P7" s="22">
        <v>36980</v>
      </c>
      <c r="Q7" s="15">
        <v>1.7427999999999999</v>
      </c>
      <c r="S7" s="22">
        <v>36980</v>
      </c>
      <c r="T7" s="15">
        <v>1.5757000000000001</v>
      </c>
      <c r="V7" s="22">
        <v>36980</v>
      </c>
      <c r="W7" s="15">
        <v>2.0594999999999999</v>
      </c>
      <c r="Y7" s="22">
        <v>36980</v>
      </c>
      <c r="Z7" s="15">
        <v>2.4823</v>
      </c>
    </row>
    <row r="8" spans="1:26" x14ac:dyDescent="0.25">
      <c r="A8" s="22">
        <v>37011</v>
      </c>
      <c r="B8" s="14">
        <v>11600</v>
      </c>
      <c r="D8" s="22">
        <v>37011</v>
      </c>
      <c r="E8" s="15">
        <v>45.604999999999997</v>
      </c>
      <c r="G8" s="22">
        <v>37011</v>
      </c>
      <c r="H8" s="15">
        <v>1.8207</v>
      </c>
      <c r="J8" s="22">
        <v>37011</v>
      </c>
      <c r="K8" s="14">
        <v>14566</v>
      </c>
      <c r="M8" s="22">
        <v>37011</v>
      </c>
      <c r="N8" s="15">
        <v>0.88600000000000001</v>
      </c>
      <c r="P8" s="22">
        <v>37011</v>
      </c>
      <c r="Q8" s="15">
        <v>1.7363</v>
      </c>
      <c r="S8" s="22">
        <v>37011</v>
      </c>
      <c r="T8" s="15">
        <v>1.5369999999999999</v>
      </c>
      <c r="V8" s="22">
        <v>37011</v>
      </c>
      <c r="W8" s="15">
        <v>1.9518</v>
      </c>
      <c r="Y8" s="22">
        <v>37011</v>
      </c>
      <c r="Z8" s="15">
        <v>2.4155000000000002</v>
      </c>
    </row>
    <row r="9" spans="1:26" x14ac:dyDescent="0.25">
      <c r="A9" s="22">
        <v>37042</v>
      </c>
      <c r="B9" s="14">
        <v>11125</v>
      </c>
      <c r="D9" s="22">
        <v>37042</v>
      </c>
      <c r="E9" s="15">
        <v>45.4</v>
      </c>
      <c r="G9" s="22">
        <v>37042</v>
      </c>
      <c r="H9" s="15">
        <v>1.8083</v>
      </c>
      <c r="J9" s="22">
        <v>37042</v>
      </c>
      <c r="K9" s="14">
        <v>14661</v>
      </c>
      <c r="M9" s="22">
        <v>37042</v>
      </c>
      <c r="N9" s="15">
        <v>0.84570000000000001</v>
      </c>
      <c r="P9" s="22">
        <v>37042</v>
      </c>
      <c r="Q9" s="15">
        <v>1.7969999999999999</v>
      </c>
      <c r="S9" s="22">
        <v>37042</v>
      </c>
      <c r="T9" s="15">
        <v>1.546</v>
      </c>
      <c r="V9" s="22">
        <v>37042</v>
      </c>
      <c r="W9" s="15">
        <v>1.9759</v>
      </c>
      <c r="Y9" s="22">
        <v>37042</v>
      </c>
      <c r="Z9" s="15">
        <v>2.4441000000000002</v>
      </c>
    </row>
    <row r="10" spans="1:26" x14ac:dyDescent="0.25">
      <c r="A10" s="22">
        <v>37071</v>
      </c>
      <c r="B10" s="14">
        <v>11390</v>
      </c>
      <c r="D10" s="22">
        <v>37071</v>
      </c>
      <c r="E10" s="15">
        <v>45.28</v>
      </c>
      <c r="G10" s="22">
        <v>37071</v>
      </c>
      <c r="H10" s="15">
        <v>1.8226</v>
      </c>
      <c r="J10" s="22">
        <v>37071</v>
      </c>
      <c r="K10" s="14">
        <v>14846</v>
      </c>
      <c r="M10" s="22">
        <v>37071</v>
      </c>
      <c r="N10" s="15">
        <v>0.84899999999999998</v>
      </c>
      <c r="P10" s="22">
        <v>37071</v>
      </c>
      <c r="Q10" s="15">
        <v>1.7921</v>
      </c>
      <c r="S10" s="22">
        <v>37071</v>
      </c>
      <c r="T10" s="15">
        <v>1.5143</v>
      </c>
      <c r="V10" s="22">
        <v>37071</v>
      </c>
      <c r="W10" s="15">
        <v>1.9544999999999999</v>
      </c>
      <c r="Y10" s="22">
        <v>37071</v>
      </c>
      <c r="Z10" s="15">
        <v>2.4554999999999998</v>
      </c>
    </row>
    <row r="11" spans="1:26" x14ac:dyDescent="0.25">
      <c r="A11" s="22">
        <v>37103</v>
      </c>
      <c r="B11" s="14">
        <v>9500</v>
      </c>
      <c r="D11" s="22">
        <v>37103</v>
      </c>
      <c r="E11" s="15">
        <v>45.695</v>
      </c>
      <c r="G11" s="22">
        <v>37103</v>
      </c>
      <c r="H11" s="15">
        <v>1.8027</v>
      </c>
      <c r="J11" s="22">
        <v>37103</v>
      </c>
      <c r="K11" s="14">
        <v>14943</v>
      </c>
      <c r="M11" s="22">
        <v>37103</v>
      </c>
      <c r="N11" s="15">
        <v>0.87360000000000004</v>
      </c>
      <c r="P11" s="22">
        <v>37103</v>
      </c>
      <c r="Q11" s="15">
        <v>1.7302</v>
      </c>
      <c r="S11" s="22">
        <v>37103</v>
      </c>
      <c r="T11" s="15">
        <v>1.528</v>
      </c>
      <c r="V11" s="22">
        <v>37103</v>
      </c>
      <c r="W11" s="15">
        <v>1.9614</v>
      </c>
      <c r="Y11" s="22">
        <v>37103</v>
      </c>
      <c r="Z11" s="15">
        <v>2.4180999999999999</v>
      </c>
    </row>
    <row r="12" spans="1:26" x14ac:dyDescent="0.25">
      <c r="A12" s="22">
        <v>37134</v>
      </c>
      <c r="B12" s="14">
        <v>8863</v>
      </c>
      <c r="D12" s="22">
        <v>37134</v>
      </c>
      <c r="E12" s="15">
        <v>44.055</v>
      </c>
      <c r="G12" s="22">
        <v>37134</v>
      </c>
      <c r="H12" s="15">
        <v>1.7406999999999999</v>
      </c>
      <c r="J12" s="22">
        <v>37134</v>
      </c>
      <c r="K12" s="14">
        <v>15018</v>
      </c>
      <c r="M12" s="22">
        <v>37134</v>
      </c>
      <c r="N12" s="15">
        <v>0.9123</v>
      </c>
      <c r="P12" s="22">
        <v>37134</v>
      </c>
      <c r="Q12" s="15">
        <v>1.6617999999999999</v>
      </c>
      <c r="S12" s="22">
        <v>37134</v>
      </c>
      <c r="T12" s="15">
        <v>1.5511999999999999</v>
      </c>
      <c r="V12" s="22">
        <v>37134</v>
      </c>
      <c r="W12" s="15">
        <v>1.8888</v>
      </c>
      <c r="Y12" s="22">
        <v>37134</v>
      </c>
      <c r="Z12" s="15">
        <v>2.2745000000000002</v>
      </c>
    </row>
    <row r="13" spans="1:26" x14ac:dyDescent="0.25">
      <c r="A13" s="22">
        <v>37162</v>
      </c>
      <c r="B13" s="14">
        <v>9688</v>
      </c>
      <c r="D13" s="22">
        <v>37162</v>
      </c>
      <c r="E13" s="15">
        <v>44.49</v>
      </c>
      <c r="G13" s="22">
        <v>37162</v>
      </c>
      <c r="H13" s="15">
        <v>1.7664</v>
      </c>
      <c r="J13" s="22">
        <v>37162</v>
      </c>
      <c r="K13" s="14">
        <v>14999</v>
      </c>
      <c r="M13" s="22">
        <v>37162</v>
      </c>
      <c r="N13" s="15">
        <v>0.91139999999999999</v>
      </c>
      <c r="P13" s="22">
        <v>37162</v>
      </c>
      <c r="Q13" s="15">
        <v>1.6204000000000001</v>
      </c>
      <c r="S13" s="22">
        <v>37162</v>
      </c>
      <c r="T13" s="15">
        <v>1.5791999999999999</v>
      </c>
      <c r="V13" s="22">
        <v>37162</v>
      </c>
      <c r="W13" s="15">
        <v>2.0356000000000001</v>
      </c>
      <c r="Y13" s="22">
        <v>37162</v>
      </c>
      <c r="Z13" s="15">
        <v>2.4603000000000002</v>
      </c>
    </row>
    <row r="14" spans="1:26" x14ac:dyDescent="0.25">
      <c r="A14" s="22">
        <v>37195</v>
      </c>
      <c r="B14" s="14">
        <v>10475</v>
      </c>
      <c r="D14" s="22">
        <v>37195</v>
      </c>
      <c r="E14" s="15">
        <v>44.715000000000003</v>
      </c>
      <c r="G14" s="22">
        <v>37195</v>
      </c>
      <c r="H14" s="15">
        <v>1.823</v>
      </c>
      <c r="J14" s="22">
        <v>37195</v>
      </c>
      <c r="K14" s="14">
        <v>15029</v>
      </c>
      <c r="M14" s="22">
        <v>37195</v>
      </c>
      <c r="N14" s="15">
        <v>0.90229999999999999</v>
      </c>
      <c r="P14" s="22">
        <v>37195</v>
      </c>
      <c r="Q14" s="15">
        <v>1.6304000000000001</v>
      </c>
      <c r="S14" s="22">
        <v>37195</v>
      </c>
      <c r="T14" s="15">
        <v>1.5873999999999999</v>
      </c>
      <c r="V14" s="22">
        <v>37195</v>
      </c>
      <c r="W14" s="15">
        <v>1.9883</v>
      </c>
      <c r="Y14" s="22">
        <v>37195</v>
      </c>
      <c r="Z14" s="15">
        <v>2.4327999999999999</v>
      </c>
    </row>
    <row r="15" spans="1:26" x14ac:dyDescent="0.25">
      <c r="A15" s="22">
        <v>37225</v>
      </c>
      <c r="B15" s="14">
        <v>10450</v>
      </c>
      <c r="D15" s="22">
        <v>37225</v>
      </c>
      <c r="E15" s="15">
        <v>43.92</v>
      </c>
      <c r="G15" s="22">
        <v>37225</v>
      </c>
      <c r="H15" s="15">
        <v>1.8311999999999999</v>
      </c>
      <c r="J15" s="22">
        <v>37225</v>
      </c>
      <c r="K15" s="14">
        <v>15063</v>
      </c>
      <c r="M15" s="22">
        <v>37225</v>
      </c>
      <c r="N15" s="15">
        <v>0.89639999999999997</v>
      </c>
      <c r="P15" s="22">
        <v>37225</v>
      </c>
      <c r="Q15" s="15">
        <v>1.6415</v>
      </c>
      <c r="S15" s="22">
        <v>37225</v>
      </c>
      <c r="T15" s="15">
        <v>1.573</v>
      </c>
      <c r="V15" s="22">
        <v>37225</v>
      </c>
      <c r="W15" s="15">
        <v>1.9162999999999999</v>
      </c>
      <c r="Y15" s="22">
        <v>37225</v>
      </c>
      <c r="Z15" s="15">
        <v>2.3984000000000001</v>
      </c>
    </row>
    <row r="16" spans="1:26" x14ac:dyDescent="0.25">
      <c r="A16" s="22">
        <v>37256</v>
      </c>
      <c r="B16" s="14">
        <v>10400</v>
      </c>
      <c r="D16" s="22">
        <v>37256</v>
      </c>
      <c r="E16" s="15">
        <v>44.204999999999998</v>
      </c>
      <c r="G16" s="22">
        <v>37256</v>
      </c>
      <c r="H16" s="15">
        <v>1.845</v>
      </c>
      <c r="J16" s="22">
        <v>37256</v>
      </c>
      <c r="K16" s="14">
        <v>15083</v>
      </c>
      <c r="M16" s="22">
        <v>37256</v>
      </c>
      <c r="N16" s="15">
        <v>0.89029999999999998</v>
      </c>
      <c r="P16" s="22">
        <v>37256</v>
      </c>
      <c r="Q16" s="15">
        <v>1.6597999999999999</v>
      </c>
      <c r="S16" s="22">
        <v>37256</v>
      </c>
      <c r="T16" s="15">
        <v>1.5926</v>
      </c>
      <c r="V16" s="22">
        <v>37256</v>
      </c>
      <c r="W16" s="15">
        <v>1.9629000000000001</v>
      </c>
      <c r="Y16" s="22">
        <v>37256</v>
      </c>
      <c r="Z16" s="15">
        <v>2.4013</v>
      </c>
    </row>
    <row r="17" spans="1:26" x14ac:dyDescent="0.25">
      <c r="A17" s="22">
        <v>37287</v>
      </c>
      <c r="B17" s="14">
        <v>10313</v>
      </c>
      <c r="D17" s="22">
        <v>37287</v>
      </c>
      <c r="E17" s="15">
        <v>44.055</v>
      </c>
      <c r="G17" s="22">
        <v>37287</v>
      </c>
      <c r="H17" s="15">
        <v>1.8360000000000001</v>
      </c>
      <c r="J17" s="22">
        <v>37287</v>
      </c>
      <c r="K17" s="14">
        <v>15124</v>
      </c>
      <c r="M17" s="22">
        <v>37287</v>
      </c>
      <c r="N17" s="15">
        <v>0.85929999999999995</v>
      </c>
      <c r="P17" s="22">
        <v>37287</v>
      </c>
      <c r="Q17" s="15">
        <v>1.7168000000000001</v>
      </c>
      <c r="S17" s="22">
        <v>37287</v>
      </c>
      <c r="T17" s="15">
        <v>1.5913999999999999</v>
      </c>
      <c r="V17" s="22">
        <v>37287</v>
      </c>
      <c r="W17" s="15">
        <v>1.9697</v>
      </c>
      <c r="Y17" s="22">
        <v>37287</v>
      </c>
      <c r="Z17" s="15">
        <v>2.4009999999999998</v>
      </c>
    </row>
    <row r="18" spans="1:26" x14ac:dyDescent="0.25">
      <c r="A18" s="22">
        <v>37315</v>
      </c>
      <c r="B18" s="14">
        <v>10151</v>
      </c>
      <c r="D18" s="22">
        <v>37315</v>
      </c>
      <c r="E18" s="15">
        <v>43.7</v>
      </c>
      <c r="G18" s="22">
        <v>37315</v>
      </c>
      <c r="H18" s="15">
        <v>1.8311999999999999</v>
      </c>
      <c r="J18" s="22">
        <v>37315</v>
      </c>
      <c r="K18" s="14">
        <v>15138</v>
      </c>
      <c r="M18" s="22">
        <v>37315</v>
      </c>
      <c r="N18" s="15">
        <v>0.86939999999999995</v>
      </c>
      <c r="P18" s="22">
        <v>37315</v>
      </c>
      <c r="Q18" s="15">
        <v>1.7011000000000001</v>
      </c>
      <c r="S18" s="22">
        <v>37315</v>
      </c>
      <c r="T18" s="15">
        <v>1.6046</v>
      </c>
      <c r="V18" s="22">
        <v>37315</v>
      </c>
      <c r="W18" s="15">
        <v>1.9311</v>
      </c>
      <c r="Y18" s="22">
        <v>37315</v>
      </c>
      <c r="Z18" s="15">
        <v>2.3702000000000001</v>
      </c>
    </row>
    <row r="19" spans="1:26" x14ac:dyDescent="0.25">
      <c r="A19" s="22">
        <v>37344</v>
      </c>
      <c r="B19" s="14">
        <v>9825</v>
      </c>
      <c r="D19" s="22">
        <v>37344</v>
      </c>
      <c r="E19" s="15">
        <v>43.47</v>
      </c>
      <c r="G19" s="22">
        <v>37344</v>
      </c>
      <c r="H19" s="15">
        <v>1.8421000000000001</v>
      </c>
      <c r="J19" s="22">
        <v>37344</v>
      </c>
      <c r="K19" s="14">
        <v>15186</v>
      </c>
      <c r="M19" s="22">
        <v>37344</v>
      </c>
      <c r="N19" s="15">
        <v>0.87170000000000003</v>
      </c>
      <c r="P19" s="22">
        <v>37344</v>
      </c>
      <c r="Q19" s="15">
        <v>1.6813</v>
      </c>
      <c r="S19" s="22">
        <v>37344</v>
      </c>
      <c r="T19" s="15">
        <v>1.5949</v>
      </c>
      <c r="V19" s="22">
        <v>37344</v>
      </c>
      <c r="W19" s="15">
        <v>1.8771</v>
      </c>
      <c r="Y19" s="22">
        <v>37344</v>
      </c>
      <c r="Z19" s="15">
        <v>2.2707000000000002</v>
      </c>
    </row>
    <row r="20" spans="1:26" x14ac:dyDescent="0.25">
      <c r="A20" s="22">
        <v>37376</v>
      </c>
      <c r="B20" s="14">
        <v>9320</v>
      </c>
      <c r="D20" s="22">
        <v>37376</v>
      </c>
      <c r="E20" s="15">
        <v>43.244999999999997</v>
      </c>
      <c r="G20" s="22">
        <v>37376</v>
      </c>
      <c r="H20" s="15">
        <v>1.8138000000000001</v>
      </c>
      <c r="J20" s="22">
        <v>37376</v>
      </c>
      <c r="K20" s="14">
        <v>15221</v>
      </c>
      <c r="M20" s="22">
        <v>37376</v>
      </c>
      <c r="N20" s="15">
        <v>0.90169999999999995</v>
      </c>
      <c r="P20" s="22">
        <v>37376</v>
      </c>
      <c r="Q20" s="15">
        <v>1.6192</v>
      </c>
      <c r="S20" s="22">
        <v>37376</v>
      </c>
      <c r="T20" s="15">
        <v>1.5684</v>
      </c>
      <c r="V20" s="22">
        <v>37376</v>
      </c>
      <c r="W20" s="15">
        <v>1.8568</v>
      </c>
      <c r="Y20" s="22">
        <v>37376</v>
      </c>
      <c r="Z20" s="15">
        <v>2.2336</v>
      </c>
    </row>
    <row r="21" spans="1:26" x14ac:dyDescent="0.25">
      <c r="A21" s="22">
        <v>37407</v>
      </c>
      <c r="B21" s="14">
        <v>8698</v>
      </c>
      <c r="D21" s="22">
        <v>37407</v>
      </c>
      <c r="E21" s="15">
        <v>42.34</v>
      </c>
      <c r="G21" s="22">
        <v>37407</v>
      </c>
      <c r="H21" s="15">
        <v>1.7887</v>
      </c>
      <c r="J21" s="22">
        <v>37407</v>
      </c>
      <c r="K21" s="14">
        <v>15247</v>
      </c>
      <c r="M21" s="22">
        <v>37407</v>
      </c>
      <c r="N21" s="15">
        <v>0.93420000000000003</v>
      </c>
      <c r="P21" s="22">
        <v>37407</v>
      </c>
      <c r="Q21" s="15">
        <v>1.5678000000000001</v>
      </c>
      <c r="S21" s="22">
        <v>37407</v>
      </c>
      <c r="T21" s="15">
        <v>1.5279</v>
      </c>
      <c r="V21" s="22">
        <v>37407</v>
      </c>
      <c r="W21" s="15">
        <v>1.7625999999999999</v>
      </c>
      <c r="Y21" s="22">
        <v>37407</v>
      </c>
      <c r="Z21" s="15">
        <v>2.081</v>
      </c>
    </row>
    <row r="22" spans="1:26" x14ac:dyDescent="0.25">
      <c r="A22" s="22">
        <v>37435</v>
      </c>
      <c r="B22" s="14">
        <v>8713</v>
      </c>
      <c r="D22" s="22">
        <v>37435</v>
      </c>
      <c r="E22" s="15">
        <v>41.52</v>
      </c>
      <c r="G22" s="22">
        <v>37435</v>
      </c>
      <c r="H22" s="15">
        <v>1.7674000000000001</v>
      </c>
      <c r="J22" s="22">
        <v>37435</v>
      </c>
      <c r="K22" s="14">
        <v>15273</v>
      </c>
      <c r="M22" s="22">
        <v>37435</v>
      </c>
      <c r="N22" s="15">
        <v>0.99150000000000005</v>
      </c>
      <c r="P22" s="22">
        <v>37435</v>
      </c>
      <c r="Q22" s="15">
        <v>1.4810000000000001</v>
      </c>
      <c r="S22" s="22">
        <v>37435</v>
      </c>
      <c r="T22" s="15">
        <v>1.5174000000000001</v>
      </c>
      <c r="V22" s="22">
        <v>37435</v>
      </c>
      <c r="W22" s="15">
        <v>1.7776000000000001</v>
      </c>
      <c r="Y22" s="22">
        <v>37435</v>
      </c>
      <c r="Z22" s="15">
        <v>2.0531999999999999</v>
      </c>
    </row>
    <row r="23" spans="1:26" x14ac:dyDescent="0.25">
      <c r="A23" s="22">
        <v>37468</v>
      </c>
      <c r="B23" s="14">
        <v>9065</v>
      </c>
      <c r="D23" s="22">
        <v>37468</v>
      </c>
      <c r="E23" s="15">
        <v>42.02</v>
      </c>
      <c r="G23" s="22">
        <v>37468</v>
      </c>
      <c r="H23" s="15">
        <v>1.7633000000000001</v>
      </c>
      <c r="J23" s="22">
        <v>37468</v>
      </c>
      <c r="K23" s="14">
        <v>15320</v>
      </c>
      <c r="M23" s="22">
        <v>37468</v>
      </c>
      <c r="N23" s="15">
        <v>0.97940000000000005</v>
      </c>
      <c r="P23" s="22">
        <v>37468</v>
      </c>
      <c r="Q23" s="15">
        <v>1.4836</v>
      </c>
      <c r="S23" s="22">
        <v>37468</v>
      </c>
      <c r="T23" s="15">
        <v>1.5841000000000001</v>
      </c>
      <c r="V23" s="22">
        <v>37468</v>
      </c>
      <c r="W23" s="15">
        <v>1.8423</v>
      </c>
      <c r="Y23" s="22">
        <v>37468</v>
      </c>
      <c r="Z23" s="15">
        <v>2.1455000000000002</v>
      </c>
    </row>
    <row r="24" spans="1:26" x14ac:dyDescent="0.25">
      <c r="A24" s="22">
        <v>37498</v>
      </c>
      <c r="B24" s="14">
        <v>8860</v>
      </c>
      <c r="D24" s="22">
        <v>37498</v>
      </c>
      <c r="E24" s="15">
        <v>42.19</v>
      </c>
      <c r="G24" s="22">
        <v>37498</v>
      </c>
      <c r="H24" s="15">
        <v>1.7498</v>
      </c>
      <c r="J24" s="22">
        <v>37498</v>
      </c>
      <c r="K24" s="14">
        <v>15330</v>
      </c>
      <c r="M24" s="22">
        <v>37498</v>
      </c>
      <c r="N24" s="15">
        <v>0.98229999999999995</v>
      </c>
      <c r="P24" s="22">
        <v>37498</v>
      </c>
      <c r="Q24" s="15">
        <v>1.4987999999999999</v>
      </c>
      <c r="S24" s="22">
        <v>37498</v>
      </c>
      <c r="T24" s="15">
        <v>1.5585</v>
      </c>
      <c r="V24" s="22">
        <v>37498</v>
      </c>
      <c r="W24" s="15">
        <v>1.8153999999999999</v>
      </c>
      <c r="Y24" s="22">
        <v>37498</v>
      </c>
      <c r="Z24" s="15">
        <v>2.1320000000000001</v>
      </c>
    </row>
    <row r="25" spans="1:26" x14ac:dyDescent="0.25">
      <c r="A25" s="22">
        <v>37529</v>
      </c>
      <c r="B25" s="14">
        <v>8994</v>
      </c>
      <c r="D25" s="22">
        <v>37529</v>
      </c>
      <c r="E25" s="15">
        <v>43.28</v>
      </c>
      <c r="G25" s="22">
        <v>37529</v>
      </c>
      <c r="H25" s="15">
        <v>1.7776000000000001</v>
      </c>
      <c r="J25" s="22">
        <v>37529</v>
      </c>
      <c r="K25" s="14">
        <v>15344</v>
      </c>
      <c r="M25" s="22">
        <v>37529</v>
      </c>
      <c r="N25" s="15">
        <v>0.9879</v>
      </c>
      <c r="P25" s="22">
        <v>37529</v>
      </c>
      <c r="Q25" s="15">
        <v>1.4752000000000001</v>
      </c>
      <c r="S25" s="22">
        <v>37529</v>
      </c>
      <c r="T25" s="15">
        <v>1.5849</v>
      </c>
      <c r="V25" s="22">
        <v>37529</v>
      </c>
      <c r="W25" s="15">
        <v>1.8428</v>
      </c>
      <c r="Y25" s="22">
        <v>37529</v>
      </c>
      <c r="Z25" s="15">
        <v>2.1307999999999998</v>
      </c>
    </row>
    <row r="26" spans="1:26" x14ac:dyDescent="0.25">
      <c r="A26" s="22">
        <v>37560</v>
      </c>
      <c r="B26" s="14">
        <v>9220</v>
      </c>
      <c r="D26" s="22">
        <v>37560</v>
      </c>
      <c r="E26" s="15">
        <v>43.3</v>
      </c>
      <c r="G26" s="22">
        <v>37560</v>
      </c>
      <c r="H26" s="15">
        <v>1.7669999999999999</v>
      </c>
      <c r="J26" s="22">
        <v>37560</v>
      </c>
      <c r="K26" s="14">
        <v>15362</v>
      </c>
      <c r="M26" s="22">
        <v>37560</v>
      </c>
      <c r="N26" s="15">
        <v>0.98950000000000005</v>
      </c>
      <c r="P26" s="22">
        <v>37560</v>
      </c>
      <c r="Q26" s="15">
        <v>1.478</v>
      </c>
      <c r="S26" s="22">
        <v>37560</v>
      </c>
      <c r="T26" s="15">
        <v>1.5608</v>
      </c>
      <c r="V26" s="22">
        <v>37560</v>
      </c>
      <c r="W26" s="15">
        <v>1.8028999999999999</v>
      </c>
      <c r="Y26" s="22">
        <v>37560</v>
      </c>
      <c r="Z26" s="15">
        <v>2.0573999999999999</v>
      </c>
    </row>
    <row r="27" spans="1:26" x14ac:dyDescent="0.25">
      <c r="A27" s="22">
        <v>37589</v>
      </c>
      <c r="B27" s="14">
        <v>8970</v>
      </c>
      <c r="D27" s="22">
        <v>37589</v>
      </c>
      <c r="E27" s="15">
        <v>43.494999999999997</v>
      </c>
      <c r="G27" s="22">
        <v>37589</v>
      </c>
      <c r="H27" s="15">
        <v>1.7665999999999999</v>
      </c>
      <c r="J27" s="22">
        <v>37589</v>
      </c>
      <c r="K27" s="14">
        <v>15384</v>
      </c>
      <c r="M27" s="22">
        <v>37589</v>
      </c>
      <c r="N27" s="15">
        <v>0.99429999999999996</v>
      </c>
      <c r="P27" s="22">
        <v>37589</v>
      </c>
      <c r="Q27" s="15">
        <v>1.4832000000000001</v>
      </c>
      <c r="S27" s="22">
        <v>37589</v>
      </c>
      <c r="T27" s="15">
        <v>1.5652999999999999</v>
      </c>
      <c r="V27" s="22">
        <v>37589</v>
      </c>
      <c r="W27" s="15">
        <v>1.7827</v>
      </c>
      <c r="Y27" s="22">
        <v>37589</v>
      </c>
      <c r="Z27" s="15">
        <v>2.0074000000000001</v>
      </c>
    </row>
    <row r="28" spans="1:26" x14ac:dyDescent="0.25">
      <c r="A28" s="22">
        <v>37621</v>
      </c>
      <c r="B28" s="14">
        <v>8950</v>
      </c>
      <c r="D28" s="22">
        <v>37621</v>
      </c>
      <c r="E28" s="15">
        <v>43.125</v>
      </c>
      <c r="G28" s="22">
        <v>37621</v>
      </c>
      <c r="H28" s="15">
        <v>1.7347999999999999</v>
      </c>
      <c r="J28" s="22">
        <v>37621</v>
      </c>
      <c r="K28" s="14">
        <v>15401</v>
      </c>
      <c r="M28" s="22">
        <v>37621</v>
      </c>
      <c r="N28" s="15">
        <v>1.0504</v>
      </c>
      <c r="P28" s="22">
        <v>37621</v>
      </c>
      <c r="Q28" s="15">
        <v>1.3816999999999999</v>
      </c>
      <c r="S28" s="22">
        <v>37621</v>
      </c>
      <c r="T28" s="15">
        <v>1.5760000000000001</v>
      </c>
      <c r="V28" s="22">
        <v>37621</v>
      </c>
      <c r="W28" s="15">
        <v>1.7883</v>
      </c>
      <c r="Y28" s="22">
        <v>37621</v>
      </c>
      <c r="Z28" s="15">
        <v>1.9101999999999999</v>
      </c>
    </row>
    <row r="29" spans="1:26" x14ac:dyDescent="0.25">
      <c r="A29" s="22">
        <v>37652</v>
      </c>
      <c r="B29" s="14">
        <v>8870</v>
      </c>
      <c r="D29" s="22">
        <v>37652</v>
      </c>
      <c r="E29" s="15">
        <v>42.72</v>
      </c>
      <c r="G29" s="22">
        <v>37652</v>
      </c>
      <c r="H29" s="15">
        <v>1.7383999999999999</v>
      </c>
      <c r="J29" s="22">
        <v>37652</v>
      </c>
      <c r="K29" s="14">
        <v>15431</v>
      </c>
      <c r="M29" s="22">
        <v>37652</v>
      </c>
      <c r="N29" s="15">
        <v>1.0768</v>
      </c>
      <c r="P29" s="22">
        <v>37652</v>
      </c>
      <c r="Q29" s="15">
        <v>1.3638999999999999</v>
      </c>
      <c r="S29" s="22">
        <v>37652</v>
      </c>
      <c r="T29" s="15">
        <v>1.5195000000000001</v>
      </c>
      <c r="V29" s="22">
        <v>37652</v>
      </c>
      <c r="W29" s="15">
        <v>1.7047000000000001</v>
      </c>
      <c r="Y29" s="22">
        <v>37652</v>
      </c>
      <c r="Z29" s="15">
        <v>1.8319000000000001</v>
      </c>
    </row>
    <row r="30" spans="1:26" x14ac:dyDescent="0.25">
      <c r="A30" s="22">
        <v>37680</v>
      </c>
      <c r="B30" s="14">
        <v>8887</v>
      </c>
      <c r="D30" s="22">
        <v>37680</v>
      </c>
      <c r="E30" s="15">
        <v>42.79</v>
      </c>
      <c r="G30" s="22">
        <v>37680</v>
      </c>
      <c r="H30" s="15">
        <v>1.7370000000000001</v>
      </c>
      <c r="J30" s="22">
        <v>37680</v>
      </c>
      <c r="K30" s="14">
        <v>15430</v>
      </c>
      <c r="M30" s="22">
        <v>37680</v>
      </c>
      <c r="N30" s="15">
        <v>1.0807</v>
      </c>
      <c r="P30" s="22">
        <v>37680</v>
      </c>
      <c r="Q30" s="15">
        <v>1.3520000000000001</v>
      </c>
      <c r="S30" s="22">
        <v>37680</v>
      </c>
      <c r="T30" s="15">
        <v>1.4845999999999999</v>
      </c>
      <c r="V30" s="22">
        <v>37680</v>
      </c>
      <c r="W30" s="15">
        <v>1.6443000000000001</v>
      </c>
      <c r="Y30" s="22">
        <v>37680</v>
      </c>
      <c r="Z30" s="15">
        <v>1.7867</v>
      </c>
    </row>
    <row r="31" spans="1:26" x14ac:dyDescent="0.25">
      <c r="A31" s="22">
        <v>37711</v>
      </c>
      <c r="B31" s="14">
        <v>8903</v>
      </c>
      <c r="D31" s="22">
        <v>37711</v>
      </c>
      <c r="E31" s="15">
        <v>42.844999999999999</v>
      </c>
      <c r="G31" s="22">
        <v>37711</v>
      </c>
      <c r="H31" s="15">
        <v>1.7645999999999999</v>
      </c>
      <c r="J31" s="22">
        <v>37711</v>
      </c>
      <c r="K31" s="14">
        <v>15454</v>
      </c>
      <c r="M31" s="22">
        <v>37711</v>
      </c>
      <c r="N31" s="15">
        <v>1.0902000000000001</v>
      </c>
      <c r="P31" s="22">
        <v>37711</v>
      </c>
      <c r="Q31" s="15">
        <v>1.3535999999999999</v>
      </c>
      <c r="S31" s="22">
        <v>37711</v>
      </c>
      <c r="T31" s="15">
        <v>1.4690000000000001</v>
      </c>
      <c r="V31" s="22">
        <v>37711</v>
      </c>
      <c r="W31" s="15">
        <v>1.6534</v>
      </c>
      <c r="Y31" s="22">
        <v>37711</v>
      </c>
      <c r="Z31" s="15">
        <v>1.8056000000000001</v>
      </c>
    </row>
    <row r="32" spans="1:26" x14ac:dyDescent="0.25">
      <c r="A32" s="22">
        <v>37741</v>
      </c>
      <c r="B32" s="14">
        <v>8675</v>
      </c>
      <c r="D32" s="22">
        <v>37741</v>
      </c>
      <c r="E32" s="15">
        <v>42.82</v>
      </c>
      <c r="G32" s="22">
        <v>37741</v>
      </c>
      <c r="H32" s="15">
        <v>1.7743</v>
      </c>
      <c r="J32" s="22">
        <v>37741</v>
      </c>
      <c r="K32" s="14">
        <v>15463</v>
      </c>
      <c r="M32" s="22">
        <v>37741</v>
      </c>
      <c r="N32" s="15">
        <v>1.1164000000000001</v>
      </c>
      <c r="P32" s="22">
        <v>37741</v>
      </c>
      <c r="Q32" s="15">
        <v>1.3565</v>
      </c>
      <c r="S32" s="22">
        <v>37741</v>
      </c>
      <c r="T32" s="15">
        <v>1.4341999999999999</v>
      </c>
      <c r="V32" s="22">
        <v>37741</v>
      </c>
      <c r="W32" s="15">
        <v>1.5972999999999999</v>
      </c>
      <c r="Y32" s="22">
        <v>37741</v>
      </c>
      <c r="Z32" s="15">
        <v>1.7869999999999999</v>
      </c>
    </row>
    <row r="33" spans="1:26" x14ac:dyDescent="0.25">
      <c r="A33" s="22">
        <v>37771</v>
      </c>
      <c r="B33" s="14">
        <v>8310</v>
      </c>
      <c r="D33" s="22">
        <v>37771</v>
      </c>
      <c r="E33" s="15">
        <v>41.71</v>
      </c>
      <c r="G33" s="22">
        <v>37771</v>
      </c>
      <c r="H33" s="15">
        <v>1.7344999999999999</v>
      </c>
      <c r="J33" s="22">
        <v>37771</v>
      </c>
      <c r="K33" s="14">
        <v>15471</v>
      </c>
      <c r="M33" s="22">
        <v>37771</v>
      </c>
      <c r="N33" s="15">
        <v>1.1783999999999999</v>
      </c>
      <c r="P33" s="22">
        <v>37771</v>
      </c>
      <c r="Q33" s="15">
        <v>1.2979000000000001</v>
      </c>
      <c r="S33" s="22">
        <v>37771</v>
      </c>
      <c r="T33" s="15">
        <v>1.3666</v>
      </c>
      <c r="V33" s="22">
        <v>37771</v>
      </c>
      <c r="W33" s="15">
        <v>1.5345</v>
      </c>
      <c r="Y33" s="22">
        <v>37771</v>
      </c>
      <c r="Z33" s="15">
        <v>1.7375</v>
      </c>
    </row>
    <row r="34" spans="1:26" x14ac:dyDescent="0.25">
      <c r="A34" s="22">
        <v>37802</v>
      </c>
      <c r="B34" s="14">
        <v>8275</v>
      </c>
      <c r="D34" s="22">
        <v>37802</v>
      </c>
      <c r="E34" s="15">
        <v>42.02</v>
      </c>
      <c r="G34" s="22">
        <v>37802</v>
      </c>
      <c r="H34" s="15">
        <v>1.7605999999999999</v>
      </c>
      <c r="J34" s="22">
        <v>37802</v>
      </c>
      <c r="K34" s="14">
        <v>15496</v>
      </c>
      <c r="M34" s="22">
        <v>37802</v>
      </c>
      <c r="N34" s="15">
        <v>1.1483000000000001</v>
      </c>
      <c r="P34" s="22">
        <v>37802</v>
      </c>
      <c r="Q34" s="15">
        <v>1.3532999999999999</v>
      </c>
      <c r="S34" s="22">
        <v>37802</v>
      </c>
      <c r="T34" s="15">
        <v>1.3534999999999999</v>
      </c>
      <c r="V34" s="22">
        <v>37802</v>
      </c>
      <c r="W34" s="15">
        <v>1.4906999999999999</v>
      </c>
      <c r="Y34" s="22">
        <v>37802</v>
      </c>
      <c r="Z34" s="15">
        <v>1.7060999999999999</v>
      </c>
    </row>
    <row r="35" spans="1:26" x14ac:dyDescent="0.25">
      <c r="A35" s="22">
        <v>37833</v>
      </c>
      <c r="B35" s="14">
        <v>8510</v>
      </c>
      <c r="D35" s="22">
        <v>37833</v>
      </c>
      <c r="E35" s="15">
        <v>41.926000000000002</v>
      </c>
      <c r="G35" s="22">
        <v>37833</v>
      </c>
      <c r="H35" s="15">
        <v>1.76</v>
      </c>
      <c r="J35" s="22">
        <v>37833</v>
      </c>
      <c r="K35" s="14">
        <v>15514</v>
      </c>
      <c r="M35" s="22">
        <v>37833</v>
      </c>
      <c r="N35" s="15">
        <v>1.1235999999999999</v>
      </c>
      <c r="P35" s="22">
        <v>37833</v>
      </c>
      <c r="Q35" s="15">
        <v>1.3711</v>
      </c>
      <c r="S35" s="22">
        <v>37833</v>
      </c>
      <c r="T35" s="15">
        <v>1.4100999999999999</v>
      </c>
      <c r="V35" s="22">
        <v>37833</v>
      </c>
      <c r="W35" s="15">
        <v>1.5443</v>
      </c>
      <c r="Y35" s="22">
        <v>37833</v>
      </c>
      <c r="Z35" s="15">
        <v>1.7245999999999999</v>
      </c>
    </row>
    <row r="36" spans="1:26" x14ac:dyDescent="0.25">
      <c r="A36" s="22">
        <v>37862</v>
      </c>
      <c r="B36" s="14">
        <v>8485</v>
      </c>
      <c r="D36" s="22">
        <v>37862</v>
      </c>
      <c r="E36" s="15">
        <v>41.164000000000001</v>
      </c>
      <c r="G36" s="22">
        <v>37862</v>
      </c>
      <c r="H36" s="15">
        <v>1.7524999999999999</v>
      </c>
      <c r="J36" s="22">
        <v>37862</v>
      </c>
      <c r="K36" s="14">
        <v>15520</v>
      </c>
      <c r="M36" s="22">
        <v>37862</v>
      </c>
      <c r="N36" s="15">
        <v>1.0984</v>
      </c>
      <c r="P36" s="22">
        <v>37862</v>
      </c>
      <c r="Q36" s="15">
        <v>1.3998999999999999</v>
      </c>
      <c r="S36" s="22">
        <v>37862</v>
      </c>
      <c r="T36" s="15">
        <v>1.3865000000000001</v>
      </c>
      <c r="V36" s="22">
        <v>37862</v>
      </c>
      <c r="W36" s="15">
        <v>1.5416000000000001</v>
      </c>
      <c r="Y36" s="22">
        <v>37862</v>
      </c>
      <c r="Z36" s="15">
        <v>1.7295</v>
      </c>
    </row>
    <row r="37" spans="1:26" x14ac:dyDescent="0.25">
      <c r="A37" s="22">
        <v>37894</v>
      </c>
      <c r="B37" s="14">
        <v>8395</v>
      </c>
      <c r="D37" s="22">
        <v>37894</v>
      </c>
      <c r="E37" s="15">
        <v>40.03</v>
      </c>
      <c r="G37" s="22">
        <v>37894</v>
      </c>
      <c r="H37" s="15">
        <v>1.7306999999999999</v>
      </c>
      <c r="J37" s="22">
        <v>37894</v>
      </c>
      <c r="K37" s="14">
        <v>15554</v>
      </c>
      <c r="M37" s="22">
        <v>37894</v>
      </c>
      <c r="N37" s="15">
        <v>1.1667000000000001</v>
      </c>
      <c r="P37" s="22">
        <v>37894</v>
      </c>
      <c r="Q37" s="15">
        <v>1.3187</v>
      </c>
      <c r="S37" s="22">
        <v>37894</v>
      </c>
      <c r="T37" s="15">
        <v>1.3493999999999999</v>
      </c>
      <c r="V37" s="22">
        <v>37894</v>
      </c>
      <c r="W37" s="15">
        <v>1.4681</v>
      </c>
      <c r="Y37" s="22">
        <v>37894</v>
      </c>
      <c r="Z37" s="15">
        <v>1.6808000000000001</v>
      </c>
    </row>
    <row r="38" spans="1:26" x14ac:dyDescent="0.25">
      <c r="A38" s="22">
        <v>37925</v>
      </c>
      <c r="B38" s="14">
        <v>8497</v>
      </c>
      <c r="D38" s="22">
        <v>37925</v>
      </c>
      <c r="E38" s="15">
        <v>39.893000000000001</v>
      </c>
      <c r="G38" s="22">
        <v>37925</v>
      </c>
      <c r="H38" s="15">
        <v>1.7411000000000001</v>
      </c>
      <c r="J38" s="22">
        <v>37925</v>
      </c>
      <c r="K38" s="14">
        <v>15642</v>
      </c>
      <c r="M38" s="22">
        <v>37925</v>
      </c>
      <c r="N38" s="15">
        <v>1.1593</v>
      </c>
      <c r="P38" s="22">
        <v>37925</v>
      </c>
      <c r="Q38" s="15">
        <v>1.3394999999999999</v>
      </c>
      <c r="S38" s="22">
        <v>37925</v>
      </c>
      <c r="T38" s="15">
        <v>1.3198000000000001</v>
      </c>
      <c r="V38" s="22">
        <v>37925</v>
      </c>
      <c r="W38" s="15">
        <v>1.4109</v>
      </c>
      <c r="Y38" s="22">
        <v>37925</v>
      </c>
      <c r="Z38" s="15">
        <v>1.6314</v>
      </c>
    </row>
    <row r="39" spans="1:26" x14ac:dyDescent="0.25">
      <c r="A39" s="22">
        <v>37953</v>
      </c>
      <c r="B39" s="14">
        <v>8505</v>
      </c>
      <c r="D39" s="22">
        <v>37953</v>
      </c>
      <c r="E39" s="15">
        <v>39.911000000000001</v>
      </c>
      <c r="G39" s="22">
        <v>37953</v>
      </c>
      <c r="H39" s="15">
        <v>1.7234</v>
      </c>
      <c r="J39" s="22">
        <v>37953</v>
      </c>
      <c r="K39" s="14">
        <v>15626</v>
      </c>
      <c r="M39" s="22">
        <v>37953</v>
      </c>
      <c r="N39" s="15">
        <v>1.1996</v>
      </c>
      <c r="P39" s="22">
        <v>37953</v>
      </c>
      <c r="Q39" s="15">
        <v>1.2909999999999999</v>
      </c>
      <c r="S39" s="22">
        <v>37953</v>
      </c>
      <c r="T39" s="15">
        <v>1.3008</v>
      </c>
      <c r="V39" s="22">
        <v>37953</v>
      </c>
      <c r="W39" s="15">
        <v>1.3808</v>
      </c>
      <c r="Y39" s="22">
        <v>37953</v>
      </c>
      <c r="Z39" s="15">
        <v>1.5636000000000001</v>
      </c>
    </row>
    <row r="40" spans="1:26" x14ac:dyDescent="0.25">
      <c r="A40" s="22">
        <v>37986</v>
      </c>
      <c r="B40" s="14">
        <v>8423</v>
      </c>
      <c r="D40" s="22">
        <v>37986</v>
      </c>
      <c r="E40" s="15">
        <v>39.622999999999998</v>
      </c>
      <c r="G40" s="22">
        <v>37986</v>
      </c>
      <c r="H40" s="15">
        <v>1.6981999999999999</v>
      </c>
      <c r="J40" s="22">
        <v>37986</v>
      </c>
      <c r="K40" s="14">
        <v>15642</v>
      </c>
      <c r="M40" s="22">
        <v>37986</v>
      </c>
      <c r="N40" s="15">
        <v>1.2564</v>
      </c>
      <c r="P40" s="22">
        <v>37986</v>
      </c>
      <c r="Q40" s="15">
        <v>1.2422</v>
      </c>
      <c r="S40" s="22">
        <v>37986</v>
      </c>
      <c r="T40" s="15">
        <v>1.2965</v>
      </c>
      <c r="V40" s="22">
        <v>37986</v>
      </c>
      <c r="W40" s="15">
        <v>1.3295999999999999</v>
      </c>
      <c r="Y40" s="22">
        <v>37986</v>
      </c>
      <c r="Z40" s="15">
        <v>1.5289999999999999</v>
      </c>
    </row>
    <row r="41" spans="1:26" x14ac:dyDescent="0.25">
      <c r="A41" s="22">
        <v>38016</v>
      </c>
      <c r="B41" s="14">
        <v>8459</v>
      </c>
      <c r="D41" s="22">
        <v>38016</v>
      </c>
      <c r="E41" s="15">
        <v>39.25</v>
      </c>
      <c r="G41" s="22">
        <v>38016</v>
      </c>
      <c r="H41" s="15">
        <v>1.6934</v>
      </c>
      <c r="J41" s="22">
        <v>38016</v>
      </c>
      <c r="K41" s="14">
        <v>15695</v>
      </c>
      <c r="M41" s="22">
        <v>38016</v>
      </c>
      <c r="N41" s="15">
        <v>1.2478</v>
      </c>
      <c r="P41" s="22">
        <v>38016</v>
      </c>
      <c r="Q41" s="15">
        <v>1.2565</v>
      </c>
      <c r="S41" s="22">
        <v>38016</v>
      </c>
      <c r="T41" s="15">
        <v>1.3251999999999999</v>
      </c>
      <c r="V41" s="22">
        <v>38016</v>
      </c>
      <c r="W41" s="15">
        <v>1.3112999999999999</v>
      </c>
      <c r="Y41" s="22">
        <v>38016</v>
      </c>
      <c r="Z41" s="15">
        <v>1.4887999999999999</v>
      </c>
    </row>
    <row r="42" spans="1:26" x14ac:dyDescent="0.25">
      <c r="A42" s="22">
        <v>38044</v>
      </c>
      <c r="B42" s="14">
        <v>8450</v>
      </c>
      <c r="D42" s="22">
        <v>38044</v>
      </c>
      <c r="E42" s="15">
        <v>39.295000000000002</v>
      </c>
      <c r="G42" s="22">
        <v>38044</v>
      </c>
      <c r="H42" s="15">
        <v>1.6999</v>
      </c>
      <c r="J42" s="22">
        <v>38044</v>
      </c>
      <c r="K42" s="14">
        <v>15757</v>
      </c>
      <c r="M42" s="22">
        <v>38044</v>
      </c>
      <c r="N42" s="15">
        <v>1.2493000000000001</v>
      </c>
      <c r="P42" s="22">
        <v>38044</v>
      </c>
      <c r="Q42" s="15">
        <v>1.2623</v>
      </c>
      <c r="S42" s="22">
        <v>38044</v>
      </c>
      <c r="T42" s="15">
        <v>1.3343</v>
      </c>
      <c r="V42" s="22">
        <v>38044</v>
      </c>
      <c r="W42" s="15">
        <v>1.2925</v>
      </c>
      <c r="Y42" s="22">
        <v>38044</v>
      </c>
      <c r="Z42" s="15">
        <v>1.4559</v>
      </c>
    </row>
    <row r="43" spans="1:26" x14ac:dyDescent="0.25">
      <c r="A43" s="22">
        <v>38077</v>
      </c>
      <c r="B43" s="14">
        <v>8564</v>
      </c>
      <c r="D43" s="22">
        <v>38077</v>
      </c>
      <c r="E43" s="15">
        <v>39.244999999999997</v>
      </c>
      <c r="G43" s="22">
        <v>38077</v>
      </c>
      <c r="H43" s="15">
        <v>1.6741999999999999</v>
      </c>
      <c r="J43" s="22">
        <v>38077</v>
      </c>
      <c r="K43" s="14">
        <v>15723</v>
      </c>
      <c r="M43" s="22">
        <v>38077</v>
      </c>
      <c r="N43" s="15">
        <v>1.2295</v>
      </c>
      <c r="P43" s="22">
        <v>38077</v>
      </c>
      <c r="Q43" s="15">
        <v>1.2675000000000001</v>
      </c>
      <c r="S43" s="22">
        <v>38077</v>
      </c>
      <c r="T43" s="15">
        <v>1.3099000000000001</v>
      </c>
      <c r="V43" s="22">
        <v>38077</v>
      </c>
      <c r="W43" s="15">
        <v>1.3109</v>
      </c>
      <c r="Y43" s="22">
        <v>38077</v>
      </c>
      <c r="Z43" s="15">
        <v>1.5035000000000001</v>
      </c>
    </row>
    <row r="44" spans="1:26" x14ac:dyDescent="0.25">
      <c r="A44" s="22">
        <v>38107</v>
      </c>
      <c r="B44" s="14">
        <v>8705</v>
      </c>
      <c r="D44" s="22">
        <v>38107</v>
      </c>
      <c r="E44" s="15">
        <v>39.991999999999997</v>
      </c>
      <c r="G44" s="22">
        <v>38107</v>
      </c>
      <c r="H44" s="15">
        <v>1.7013</v>
      </c>
      <c r="J44" s="22">
        <v>38107</v>
      </c>
      <c r="K44" s="14">
        <v>15720</v>
      </c>
      <c r="M44" s="22">
        <v>38107</v>
      </c>
      <c r="N44" s="15">
        <v>1.198</v>
      </c>
      <c r="P44" s="22">
        <v>38107</v>
      </c>
      <c r="Q44" s="15">
        <v>1.2956000000000001</v>
      </c>
      <c r="S44" s="22">
        <v>38107</v>
      </c>
      <c r="T44" s="15">
        <v>1.3722000000000001</v>
      </c>
      <c r="V44" s="22">
        <v>38107</v>
      </c>
      <c r="W44" s="15">
        <v>1.3858999999999999</v>
      </c>
      <c r="Y44" s="22">
        <v>38107</v>
      </c>
      <c r="Z44" s="15">
        <v>1.5975999999999999</v>
      </c>
    </row>
    <row r="45" spans="1:26" x14ac:dyDescent="0.25">
      <c r="A45" s="22">
        <v>38138</v>
      </c>
      <c r="B45" s="14">
        <v>9268</v>
      </c>
      <c r="D45" s="22">
        <v>38138</v>
      </c>
      <c r="E45" s="15">
        <v>40.549999999999997</v>
      </c>
      <c r="G45" s="22">
        <v>38138</v>
      </c>
      <c r="H45" s="15">
        <v>1.6978</v>
      </c>
      <c r="J45" s="22">
        <v>38138</v>
      </c>
      <c r="K45" s="14">
        <v>15743</v>
      </c>
      <c r="M45" s="22">
        <v>38138</v>
      </c>
      <c r="N45" s="15">
        <v>1.2189000000000001</v>
      </c>
      <c r="P45" s="22">
        <v>38138</v>
      </c>
      <c r="Q45" s="15">
        <v>1.2544</v>
      </c>
      <c r="S45" s="22">
        <v>38138</v>
      </c>
      <c r="T45" s="15">
        <v>1.3631</v>
      </c>
      <c r="V45" s="22">
        <v>38138</v>
      </c>
      <c r="W45" s="15">
        <v>1.3988</v>
      </c>
      <c r="Y45" s="22">
        <v>38138</v>
      </c>
      <c r="Z45" s="15">
        <v>1.5848</v>
      </c>
    </row>
    <row r="46" spans="1:26" x14ac:dyDescent="0.25">
      <c r="A46" s="22">
        <v>38168</v>
      </c>
      <c r="B46" s="14">
        <v>9400</v>
      </c>
      <c r="D46" s="22">
        <v>38168</v>
      </c>
      <c r="E46" s="15">
        <v>40.89</v>
      </c>
      <c r="G46" s="22">
        <v>38168</v>
      </c>
      <c r="H46" s="15">
        <v>1.7215</v>
      </c>
      <c r="J46" s="22">
        <v>38168</v>
      </c>
      <c r="K46" s="14">
        <v>15722</v>
      </c>
      <c r="M46" s="22">
        <v>38168</v>
      </c>
      <c r="N46" s="15">
        <v>1.2169000000000001</v>
      </c>
      <c r="P46" s="22">
        <v>38168</v>
      </c>
      <c r="Q46" s="15">
        <v>1.2535000000000001</v>
      </c>
      <c r="S46" s="22">
        <v>38168</v>
      </c>
      <c r="T46" s="15">
        <v>1.337</v>
      </c>
      <c r="V46" s="22">
        <v>38168</v>
      </c>
      <c r="W46" s="15">
        <v>1.4396</v>
      </c>
      <c r="Y46" s="22">
        <v>38168</v>
      </c>
      <c r="Z46" s="15">
        <v>1.5819000000000001</v>
      </c>
    </row>
    <row r="47" spans="1:26" x14ac:dyDescent="0.25">
      <c r="A47" s="22">
        <v>38198</v>
      </c>
      <c r="B47" s="14">
        <v>9135</v>
      </c>
      <c r="D47" s="22">
        <v>38198</v>
      </c>
      <c r="E47" s="15">
        <v>41.32</v>
      </c>
      <c r="G47" s="22">
        <v>38198</v>
      </c>
      <c r="H47" s="15">
        <v>1.7192000000000001</v>
      </c>
      <c r="J47" s="22">
        <v>38198</v>
      </c>
      <c r="K47" s="14">
        <v>15748</v>
      </c>
      <c r="M47" s="22">
        <v>38198</v>
      </c>
      <c r="N47" s="15">
        <v>1.2019</v>
      </c>
      <c r="P47" s="22">
        <v>38198</v>
      </c>
      <c r="Q47" s="15">
        <v>1.2815000000000001</v>
      </c>
      <c r="S47" s="22">
        <v>38198</v>
      </c>
      <c r="T47" s="15">
        <v>1.3313999999999999</v>
      </c>
      <c r="V47" s="22">
        <v>38198</v>
      </c>
      <c r="W47" s="15">
        <v>1.4256</v>
      </c>
      <c r="Y47" s="22">
        <v>38198</v>
      </c>
      <c r="Z47" s="15">
        <v>1.573</v>
      </c>
    </row>
    <row r="48" spans="1:26" x14ac:dyDescent="0.25">
      <c r="A48" s="22">
        <v>38230</v>
      </c>
      <c r="B48" s="14">
        <v>9375</v>
      </c>
      <c r="D48" s="22">
        <v>38230</v>
      </c>
      <c r="E48" s="15">
        <v>41.625</v>
      </c>
      <c r="G48" s="22">
        <v>38230</v>
      </c>
      <c r="H48" s="15">
        <v>1.7093</v>
      </c>
      <c r="J48" s="22">
        <v>38230</v>
      </c>
      <c r="K48" s="14">
        <v>15760</v>
      </c>
      <c r="M48" s="22">
        <v>38230</v>
      </c>
      <c r="N48" s="15">
        <v>1.2184999999999999</v>
      </c>
      <c r="P48" s="22">
        <v>38230</v>
      </c>
      <c r="Q48" s="15">
        <v>1.2652000000000001</v>
      </c>
      <c r="S48" s="22">
        <v>38230</v>
      </c>
      <c r="T48" s="15">
        <v>1.3148</v>
      </c>
      <c r="V48" s="22">
        <v>38230</v>
      </c>
      <c r="W48" s="15">
        <v>1.415</v>
      </c>
      <c r="Y48" s="22">
        <v>38230</v>
      </c>
      <c r="Z48" s="15">
        <v>1.5227999999999999</v>
      </c>
    </row>
    <row r="49" spans="1:26" x14ac:dyDescent="0.25">
      <c r="A49" s="22">
        <v>38260</v>
      </c>
      <c r="B49" s="14">
        <v>9153</v>
      </c>
      <c r="D49" s="22">
        <v>38260</v>
      </c>
      <c r="E49" s="15">
        <v>41.424999999999997</v>
      </c>
      <c r="G49" s="22">
        <v>38260</v>
      </c>
      <c r="H49" s="15">
        <v>1.6834</v>
      </c>
      <c r="J49" s="22">
        <v>38260</v>
      </c>
      <c r="K49" s="14">
        <v>15755</v>
      </c>
      <c r="M49" s="22">
        <v>38260</v>
      </c>
      <c r="N49" s="15">
        <v>1.2427999999999999</v>
      </c>
      <c r="P49" s="22">
        <v>38260</v>
      </c>
      <c r="Q49" s="15">
        <v>1.246</v>
      </c>
      <c r="S49" s="22">
        <v>38260</v>
      </c>
      <c r="T49" s="15">
        <v>1.2603</v>
      </c>
      <c r="V49" s="22">
        <v>38260</v>
      </c>
      <c r="W49" s="15">
        <v>1.375</v>
      </c>
      <c r="Y49" s="22">
        <v>38260</v>
      </c>
      <c r="Z49" s="15">
        <v>1.4755</v>
      </c>
    </row>
    <row r="50" spans="1:26" x14ac:dyDescent="0.25">
      <c r="A50" s="22">
        <v>38289</v>
      </c>
      <c r="B50" s="14">
        <v>9100</v>
      </c>
      <c r="D50" s="22">
        <v>38289</v>
      </c>
      <c r="E50" s="15">
        <v>41.04</v>
      </c>
      <c r="G50" s="22">
        <v>38289</v>
      </c>
      <c r="H50" s="15">
        <v>1.6633</v>
      </c>
      <c r="J50" s="22">
        <v>38289</v>
      </c>
      <c r="K50" s="14">
        <v>15745</v>
      </c>
      <c r="M50" s="22">
        <v>38289</v>
      </c>
      <c r="N50" s="15">
        <v>1.2798</v>
      </c>
      <c r="P50" s="22">
        <v>38289</v>
      </c>
      <c r="Q50" s="15">
        <v>1.1942999999999999</v>
      </c>
      <c r="S50" s="22">
        <v>38289</v>
      </c>
      <c r="T50" s="15">
        <v>1.2177</v>
      </c>
      <c r="V50" s="22">
        <v>38289</v>
      </c>
      <c r="W50" s="15">
        <v>1.341</v>
      </c>
      <c r="Y50" s="22">
        <v>38289</v>
      </c>
      <c r="Z50" s="15">
        <v>1.4630000000000001</v>
      </c>
    </row>
    <row r="51" spans="1:26" x14ac:dyDescent="0.25">
      <c r="A51" s="22">
        <v>38321</v>
      </c>
      <c r="B51" s="14">
        <v>9000</v>
      </c>
      <c r="D51" s="22">
        <v>38321</v>
      </c>
      <c r="E51" s="15">
        <v>39.46</v>
      </c>
      <c r="G51" s="22">
        <v>38321</v>
      </c>
      <c r="H51" s="15">
        <v>1.6379999999999999</v>
      </c>
      <c r="J51" s="22">
        <v>38321</v>
      </c>
      <c r="K51" s="14">
        <v>15773</v>
      </c>
      <c r="M51" s="22">
        <v>38321</v>
      </c>
      <c r="N51" s="15">
        <v>1.3278000000000001</v>
      </c>
      <c r="P51" s="22">
        <v>38321</v>
      </c>
      <c r="Q51" s="15">
        <v>1.1395999999999999</v>
      </c>
      <c r="S51" s="22">
        <v>38321</v>
      </c>
      <c r="T51" s="15">
        <v>1.1880999999999999</v>
      </c>
      <c r="V51" s="22">
        <v>38321</v>
      </c>
      <c r="W51" s="15">
        <v>1.2965</v>
      </c>
      <c r="Y51" s="22">
        <v>38321</v>
      </c>
      <c r="Z51" s="15">
        <v>1.3971</v>
      </c>
    </row>
    <row r="52" spans="1:26" x14ac:dyDescent="0.25">
      <c r="A52" s="22">
        <v>38352</v>
      </c>
      <c r="B52" s="14">
        <v>9283</v>
      </c>
      <c r="D52" s="22">
        <v>38352</v>
      </c>
      <c r="E52" s="15">
        <v>38.9</v>
      </c>
      <c r="G52" s="22">
        <v>38352</v>
      </c>
      <c r="H52" s="15">
        <v>1.6329</v>
      </c>
      <c r="J52" s="22">
        <v>38352</v>
      </c>
      <c r="K52" s="14">
        <v>15773</v>
      </c>
      <c r="M52" s="22">
        <v>38352</v>
      </c>
      <c r="N52" s="15">
        <v>1.3553999999999999</v>
      </c>
      <c r="P52" s="22">
        <v>38352</v>
      </c>
      <c r="Q52" s="15">
        <v>1.1404000000000001</v>
      </c>
      <c r="S52" s="22">
        <v>38352</v>
      </c>
      <c r="T52" s="15">
        <v>1.2019</v>
      </c>
      <c r="V52" s="22">
        <v>38352</v>
      </c>
      <c r="W52" s="15">
        <v>1.2775000000000001</v>
      </c>
      <c r="Y52" s="22">
        <v>38352</v>
      </c>
      <c r="Z52" s="15">
        <v>1.3906000000000001</v>
      </c>
    </row>
    <row r="53" spans="1:26" x14ac:dyDescent="0.25">
      <c r="A53" s="22">
        <v>38383</v>
      </c>
      <c r="B53" s="14">
        <v>9165</v>
      </c>
      <c r="D53" s="22">
        <v>38383</v>
      </c>
      <c r="E53" s="15">
        <v>38.56</v>
      </c>
      <c r="G53" s="22">
        <v>38383</v>
      </c>
      <c r="H53" s="15">
        <v>1.6365000000000001</v>
      </c>
      <c r="J53" s="22">
        <v>38383</v>
      </c>
      <c r="K53" s="14">
        <v>15785</v>
      </c>
      <c r="M53" s="22">
        <v>38383</v>
      </c>
      <c r="N53" s="15">
        <v>1.3046</v>
      </c>
      <c r="P53" s="22">
        <v>38383</v>
      </c>
      <c r="Q53" s="15">
        <v>1.1878</v>
      </c>
      <c r="S53" s="22">
        <v>38383</v>
      </c>
      <c r="T53" s="15">
        <v>1.2391000000000001</v>
      </c>
      <c r="V53" s="22">
        <v>38383</v>
      </c>
      <c r="W53" s="15">
        <v>1.29</v>
      </c>
      <c r="Y53" s="22">
        <v>38383</v>
      </c>
      <c r="Z53" s="15">
        <v>1.4068000000000001</v>
      </c>
    </row>
    <row r="54" spans="1:26" x14ac:dyDescent="0.25">
      <c r="A54" s="22">
        <v>38411</v>
      </c>
      <c r="B54" s="14">
        <v>9264</v>
      </c>
      <c r="D54" s="22">
        <v>38411</v>
      </c>
      <c r="E54" s="15">
        <v>38.253</v>
      </c>
      <c r="G54" s="22">
        <v>38411</v>
      </c>
      <c r="H54" s="15">
        <v>1.6238999999999999</v>
      </c>
      <c r="J54" s="22">
        <v>38411</v>
      </c>
      <c r="K54" s="14">
        <v>15803</v>
      </c>
      <c r="M54" s="22">
        <v>38411</v>
      </c>
      <c r="N54" s="15">
        <v>1.3253999999999999</v>
      </c>
      <c r="P54" s="22">
        <v>38411</v>
      </c>
      <c r="Q54" s="15">
        <v>1.1604000000000001</v>
      </c>
      <c r="S54" s="22">
        <v>38411</v>
      </c>
      <c r="T54" s="15">
        <v>1.2336</v>
      </c>
      <c r="V54" s="22">
        <v>38411</v>
      </c>
      <c r="W54" s="15">
        <v>1.2624</v>
      </c>
      <c r="Y54" s="22">
        <v>38411</v>
      </c>
      <c r="Z54" s="15">
        <v>1.3745000000000001</v>
      </c>
    </row>
    <row r="55" spans="1:26" x14ac:dyDescent="0.25">
      <c r="A55" s="22">
        <v>38442</v>
      </c>
      <c r="B55" s="14">
        <v>9470</v>
      </c>
      <c r="D55" s="22">
        <v>38442</v>
      </c>
      <c r="E55" s="15">
        <v>39.118000000000002</v>
      </c>
      <c r="G55" s="22">
        <v>38442</v>
      </c>
      <c r="H55" s="15">
        <v>1.6508</v>
      </c>
      <c r="J55" s="22">
        <v>38442</v>
      </c>
      <c r="K55" s="14">
        <v>15818</v>
      </c>
      <c r="M55" s="22">
        <v>38442</v>
      </c>
      <c r="N55" s="15">
        <v>1.2968</v>
      </c>
      <c r="P55" s="22">
        <v>38442</v>
      </c>
      <c r="Q55" s="15">
        <v>1.1958</v>
      </c>
      <c r="S55" s="22">
        <v>38442</v>
      </c>
      <c r="T55" s="15">
        <v>1.2099</v>
      </c>
      <c r="V55" s="22">
        <v>38442</v>
      </c>
      <c r="W55" s="15">
        <v>1.2927999999999999</v>
      </c>
      <c r="Y55" s="22">
        <v>38442</v>
      </c>
      <c r="Z55" s="15">
        <v>1.4025000000000001</v>
      </c>
    </row>
    <row r="56" spans="1:26" x14ac:dyDescent="0.25">
      <c r="A56" s="22">
        <v>38471</v>
      </c>
      <c r="B56" s="14">
        <v>9560</v>
      </c>
      <c r="D56" s="22">
        <v>38471</v>
      </c>
      <c r="E56" s="15">
        <v>39.448</v>
      </c>
      <c r="G56" s="22">
        <v>38471</v>
      </c>
      <c r="H56" s="15">
        <v>1.6363000000000001</v>
      </c>
      <c r="J56" s="22">
        <v>38471</v>
      </c>
      <c r="K56" s="14">
        <v>15828</v>
      </c>
      <c r="M56" s="22">
        <v>38471</v>
      </c>
      <c r="N56" s="15">
        <v>1.2873000000000001</v>
      </c>
      <c r="P56" s="22">
        <v>38471</v>
      </c>
      <c r="Q56" s="15">
        <v>1.1951000000000001</v>
      </c>
      <c r="S56" s="22">
        <v>38471</v>
      </c>
      <c r="T56" s="15">
        <v>1.2583</v>
      </c>
      <c r="V56" s="22">
        <v>38471</v>
      </c>
      <c r="W56" s="15">
        <v>1.2783</v>
      </c>
      <c r="Y56" s="22">
        <v>38471</v>
      </c>
      <c r="Z56" s="15">
        <v>1.3646</v>
      </c>
    </row>
    <row r="57" spans="1:26" x14ac:dyDescent="0.25">
      <c r="A57" s="22">
        <v>38503</v>
      </c>
      <c r="B57" s="14">
        <v>9510</v>
      </c>
      <c r="D57" s="22">
        <v>38503</v>
      </c>
      <c r="E57" s="15">
        <v>40.607999999999997</v>
      </c>
      <c r="G57" s="22">
        <v>38503</v>
      </c>
      <c r="H57" s="15">
        <v>1.6648000000000001</v>
      </c>
      <c r="J57" s="22">
        <v>38503</v>
      </c>
      <c r="K57" s="14">
        <v>15855</v>
      </c>
      <c r="M57" s="22">
        <v>38503</v>
      </c>
      <c r="N57" s="15">
        <v>1.2338</v>
      </c>
      <c r="P57" s="22">
        <v>38503</v>
      </c>
      <c r="Q57" s="15">
        <v>1.2452000000000001</v>
      </c>
      <c r="S57" s="22">
        <v>38503</v>
      </c>
      <c r="T57" s="15">
        <v>1.2526999999999999</v>
      </c>
      <c r="V57" s="22">
        <v>38503</v>
      </c>
      <c r="W57" s="15">
        <v>1.3217000000000001</v>
      </c>
      <c r="Y57" s="22">
        <v>38503</v>
      </c>
      <c r="Z57" s="15">
        <v>1.4180999999999999</v>
      </c>
    </row>
    <row r="58" spans="1:26" x14ac:dyDescent="0.25">
      <c r="A58" s="22">
        <v>38533</v>
      </c>
      <c r="B58" s="14">
        <v>9760</v>
      </c>
      <c r="D58" s="22">
        <v>38533</v>
      </c>
      <c r="E58" s="15">
        <v>41.314999999999998</v>
      </c>
      <c r="G58" s="22">
        <v>38533</v>
      </c>
      <c r="H58" s="15">
        <v>1.6876</v>
      </c>
      <c r="J58" s="22">
        <v>38533</v>
      </c>
      <c r="K58" s="14">
        <v>15849</v>
      </c>
      <c r="M58" s="22">
        <v>38533</v>
      </c>
      <c r="N58" s="15">
        <v>1.2094</v>
      </c>
      <c r="P58" s="22">
        <v>38533</v>
      </c>
      <c r="Q58" s="15">
        <v>1.2835000000000001</v>
      </c>
      <c r="S58" s="22">
        <v>38533</v>
      </c>
      <c r="T58" s="15">
        <v>1.2273000000000001</v>
      </c>
      <c r="V58" s="22">
        <v>38533</v>
      </c>
      <c r="W58" s="15">
        <v>1.3118000000000001</v>
      </c>
      <c r="Y58" s="22">
        <v>38533</v>
      </c>
      <c r="Z58" s="15">
        <v>1.4369000000000001</v>
      </c>
    </row>
    <row r="59" spans="1:26" x14ac:dyDescent="0.25">
      <c r="A59" s="22">
        <v>38562</v>
      </c>
      <c r="B59" s="14">
        <v>9805</v>
      </c>
      <c r="D59" s="22">
        <v>38562</v>
      </c>
      <c r="E59" s="15">
        <v>41.655000000000001</v>
      </c>
      <c r="G59" s="22">
        <v>38562</v>
      </c>
      <c r="H59" s="15">
        <v>1.6615</v>
      </c>
      <c r="J59" s="22">
        <v>38562</v>
      </c>
      <c r="K59" s="14">
        <v>15878</v>
      </c>
      <c r="M59" s="22">
        <v>38562</v>
      </c>
      <c r="N59" s="15">
        <v>1.2122999999999999</v>
      </c>
      <c r="P59" s="22">
        <v>38562</v>
      </c>
      <c r="Q59" s="15">
        <v>1.2894000000000001</v>
      </c>
      <c r="S59" s="22">
        <v>38562</v>
      </c>
      <c r="T59" s="15">
        <v>1.2233000000000001</v>
      </c>
      <c r="V59" s="22">
        <v>38562</v>
      </c>
      <c r="W59" s="15">
        <v>1.3184</v>
      </c>
      <c r="Y59" s="22">
        <v>38562</v>
      </c>
      <c r="Z59" s="15">
        <v>1.4655</v>
      </c>
    </row>
    <row r="60" spans="1:26" x14ac:dyDescent="0.25">
      <c r="A60" s="22">
        <v>38595</v>
      </c>
      <c r="B60" s="14">
        <v>10300</v>
      </c>
      <c r="D60" s="22">
        <v>38595</v>
      </c>
      <c r="E60" s="15">
        <v>41.255000000000003</v>
      </c>
      <c r="G60" s="22">
        <v>38595</v>
      </c>
      <c r="H60" s="15">
        <v>1.6827000000000001</v>
      </c>
      <c r="J60" s="22">
        <v>38595</v>
      </c>
      <c r="K60" s="14">
        <v>15873</v>
      </c>
      <c r="M60" s="22">
        <v>38595</v>
      </c>
      <c r="N60" s="15">
        <v>1.2333000000000001</v>
      </c>
      <c r="P60" s="22">
        <v>38595</v>
      </c>
      <c r="Q60" s="15">
        <v>1.2544999999999999</v>
      </c>
      <c r="S60" s="22">
        <v>38595</v>
      </c>
      <c r="T60" s="15">
        <v>1.1848000000000001</v>
      </c>
      <c r="V60" s="22">
        <v>38595</v>
      </c>
      <c r="W60" s="15">
        <v>1.3274999999999999</v>
      </c>
      <c r="Y60" s="22">
        <v>38595</v>
      </c>
      <c r="Z60" s="15">
        <v>1.4431</v>
      </c>
    </row>
    <row r="61" spans="1:26" x14ac:dyDescent="0.25">
      <c r="A61" s="22">
        <v>38625</v>
      </c>
      <c r="B61" s="14">
        <v>10280</v>
      </c>
      <c r="D61" s="22">
        <v>38625</v>
      </c>
      <c r="E61" s="15">
        <v>41.045000000000002</v>
      </c>
      <c r="G61" s="22">
        <v>38625</v>
      </c>
      <c r="H61" s="15">
        <v>1.6914</v>
      </c>
      <c r="J61" s="22">
        <v>38625</v>
      </c>
      <c r="K61" s="14">
        <v>15900</v>
      </c>
      <c r="M61" s="22">
        <v>38625</v>
      </c>
      <c r="N61" s="15">
        <v>1.2025999999999999</v>
      </c>
      <c r="P61" s="22">
        <v>38625</v>
      </c>
      <c r="Q61" s="15">
        <v>1.2939000000000001</v>
      </c>
      <c r="S61" s="22">
        <v>38625</v>
      </c>
      <c r="T61" s="15">
        <v>1.163</v>
      </c>
      <c r="V61" s="22">
        <v>38625</v>
      </c>
      <c r="W61" s="15">
        <v>1.3099000000000001</v>
      </c>
      <c r="Y61" s="22">
        <v>38625</v>
      </c>
      <c r="Z61" s="15">
        <v>1.4444999999999999</v>
      </c>
    </row>
    <row r="62" spans="1:26" x14ac:dyDescent="0.25">
      <c r="A62" s="22">
        <v>38656</v>
      </c>
      <c r="B62" s="14">
        <v>10123</v>
      </c>
      <c r="D62" s="22">
        <v>38656</v>
      </c>
      <c r="E62" s="15">
        <v>40.78</v>
      </c>
      <c r="G62" s="22">
        <v>38656</v>
      </c>
      <c r="H62" s="15">
        <v>1.6954</v>
      </c>
      <c r="J62" s="22">
        <v>38656</v>
      </c>
      <c r="K62" s="14">
        <v>15893</v>
      </c>
      <c r="M62" s="22">
        <v>38656</v>
      </c>
      <c r="N62" s="15">
        <v>1.1986000000000001</v>
      </c>
      <c r="P62" s="22">
        <v>38656</v>
      </c>
      <c r="Q62" s="15">
        <v>1.2906</v>
      </c>
      <c r="S62" s="22">
        <v>38656</v>
      </c>
      <c r="T62" s="15">
        <v>1.1825000000000001</v>
      </c>
      <c r="V62" s="22">
        <v>38656</v>
      </c>
      <c r="W62" s="15">
        <v>1.3389</v>
      </c>
      <c r="Y62" s="22">
        <v>38656</v>
      </c>
      <c r="Z62" s="15">
        <v>1.4298999999999999</v>
      </c>
    </row>
    <row r="63" spans="1:26" x14ac:dyDescent="0.25">
      <c r="A63" s="22">
        <v>38686</v>
      </c>
      <c r="B63" s="14">
        <v>10029</v>
      </c>
      <c r="D63" s="22">
        <v>38686</v>
      </c>
      <c r="E63" s="15">
        <v>41.22</v>
      </c>
      <c r="G63" s="22">
        <v>38686</v>
      </c>
      <c r="H63" s="15">
        <v>1.6918</v>
      </c>
      <c r="J63" s="22">
        <v>38686</v>
      </c>
      <c r="K63" s="14">
        <v>15913</v>
      </c>
      <c r="M63" s="22">
        <v>38686</v>
      </c>
      <c r="N63" s="15">
        <v>1.1787000000000001</v>
      </c>
      <c r="P63" s="22">
        <v>38686</v>
      </c>
      <c r="Q63" s="15">
        <v>1.3149999999999999</v>
      </c>
      <c r="S63" s="22">
        <v>38686</v>
      </c>
      <c r="T63" s="15">
        <v>1.1674</v>
      </c>
      <c r="V63" s="22">
        <v>38686</v>
      </c>
      <c r="W63" s="15">
        <v>1.3529</v>
      </c>
      <c r="Y63" s="22">
        <v>38686</v>
      </c>
      <c r="Z63" s="15">
        <v>1.4226000000000001</v>
      </c>
    </row>
    <row r="64" spans="1:26" x14ac:dyDescent="0.25">
      <c r="A64" s="22">
        <v>38716</v>
      </c>
      <c r="B64" s="14">
        <v>9840</v>
      </c>
      <c r="D64" s="22">
        <v>38716</v>
      </c>
      <c r="E64" s="15">
        <v>41.01</v>
      </c>
      <c r="G64" s="22">
        <v>38716</v>
      </c>
      <c r="H64" s="15">
        <v>1.6627000000000001</v>
      </c>
      <c r="J64" s="22">
        <v>38716</v>
      </c>
      <c r="K64" s="14">
        <v>15918</v>
      </c>
      <c r="M64" s="22">
        <v>38716</v>
      </c>
      <c r="N64" s="15">
        <v>1.1849000000000001</v>
      </c>
      <c r="P64" s="22">
        <v>38716</v>
      </c>
      <c r="Q64" s="15">
        <v>1.3133999999999999</v>
      </c>
      <c r="S64" s="22">
        <v>38716</v>
      </c>
      <c r="T64" s="15">
        <v>1.1619999999999999</v>
      </c>
      <c r="V64" s="22">
        <v>38716</v>
      </c>
      <c r="W64" s="15">
        <v>1.3629</v>
      </c>
      <c r="Y64" s="22">
        <v>38716</v>
      </c>
      <c r="Z64" s="15">
        <v>1.4692000000000001</v>
      </c>
    </row>
    <row r="65" spans="1:26" x14ac:dyDescent="0.25">
      <c r="A65" s="22">
        <v>38748</v>
      </c>
      <c r="B65" s="14">
        <v>9375</v>
      </c>
      <c r="D65" s="22">
        <v>38748</v>
      </c>
      <c r="E65" s="15">
        <v>38.909999999999997</v>
      </c>
      <c r="G65" s="22">
        <v>38748</v>
      </c>
      <c r="H65" s="15">
        <v>1.6212</v>
      </c>
      <c r="J65" s="22">
        <v>38748</v>
      </c>
      <c r="K65" s="14">
        <v>15918</v>
      </c>
      <c r="M65" s="22">
        <v>38748</v>
      </c>
      <c r="N65" s="15">
        <v>1.2173</v>
      </c>
      <c r="P65" s="22">
        <v>38748</v>
      </c>
      <c r="Q65" s="15">
        <v>1.2758</v>
      </c>
      <c r="S65" s="22">
        <v>38748</v>
      </c>
      <c r="T65" s="15">
        <v>1.1432</v>
      </c>
      <c r="V65" s="22">
        <v>38748</v>
      </c>
      <c r="W65" s="15">
        <v>1.3207</v>
      </c>
      <c r="Y65" s="22">
        <v>38748</v>
      </c>
      <c r="Z65" s="15">
        <v>1.4592000000000001</v>
      </c>
    </row>
    <row r="66" spans="1:26" x14ac:dyDescent="0.25">
      <c r="A66" s="22">
        <v>38776</v>
      </c>
      <c r="B66" s="14">
        <v>9183</v>
      </c>
      <c r="D66" s="22">
        <v>38776</v>
      </c>
      <c r="E66" s="15">
        <v>39.11</v>
      </c>
      <c r="G66" s="22">
        <v>38776</v>
      </c>
      <c r="H66" s="15">
        <v>1.6216999999999999</v>
      </c>
      <c r="J66" s="22">
        <v>38776</v>
      </c>
      <c r="K66" s="14">
        <v>15910</v>
      </c>
      <c r="M66" s="22">
        <v>38776</v>
      </c>
      <c r="N66" s="15">
        <v>1.1922999999999999</v>
      </c>
      <c r="P66" s="22">
        <v>38776</v>
      </c>
      <c r="Q66" s="15">
        <v>1.3115000000000001</v>
      </c>
      <c r="S66" s="22">
        <v>38776</v>
      </c>
      <c r="T66" s="15">
        <v>1.1376999999999999</v>
      </c>
      <c r="V66" s="22">
        <v>38776</v>
      </c>
      <c r="W66" s="15">
        <v>1.3453999999999999</v>
      </c>
      <c r="Y66" s="22">
        <v>38776</v>
      </c>
      <c r="Z66" s="15">
        <v>1.5085999999999999</v>
      </c>
    </row>
    <row r="67" spans="1:26" x14ac:dyDescent="0.25">
      <c r="A67" s="22">
        <v>38807</v>
      </c>
      <c r="B67" s="14">
        <v>9087</v>
      </c>
      <c r="D67" s="22">
        <v>38807</v>
      </c>
      <c r="E67" s="15">
        <v>38.854999999999997</v>
      </c>
      <c r="G67" s="22">
        <v>38807</v>
      </c>
      <c r="H67" s="15">
        <v>1.6158999999999999</v>
      </c>
      <c r="J67" s="22">
        <v>38807</v>
      </c>
      <c r="K67" s="14">
        <v>15925</v>
      </c>
      <c r="M67" s="22">
        <v>38807</v>
      </c>
      <c r="N67" s="15">
        <v>1.2118</v>
      </c>
      <c r="P67" s="22">
        <v>38807</v>
      </c>
      <c r="Q67" s="15">
        <v>1.3042</v>
      </c>
      <c r="S67" s="22">
        <v>38807</v>
      </c>
      <c r="T67" s="15">
        <v>1.1686000000000001</v>
      </c>
      <c r="V67" s="22">
        <v>38807</v>
      </c>
      <c r="W67" s="15">
        <v>1.3960999999999999</v>
      </c>
      <c r="Y67" s="22">
        <v>38807</v>
      </c>
      <c r="Z67" s="15">
        <v>1.6217999999999999</v>
      </c>
    </row>
    <row r="68" spans="1:26" x14ac:dyDescent="0.25">
      <c r="A68" s="22">
        <v>38835</v>
      </c>
      <c r="B68" s="14">
        <v>8793</v>
      </c>
      <c r="D68" s="22">
        <v>38835</v>
      </c>
      <c r="E68" s="15">
        <v>37.520000000000003</v>
      </c>
      <c r="G68" s="22">
        <v>38835</v>
      </c>
      <c r="H68" s="15">
        <v>1.5809</v>
      </c>
      <c r="J68" s="22">
        <v>38835</v>
      </c>
      <c r="K68" s="14">
        <v>15940</v>
      </c>
      <c r="M68" s="22">
        <v>38835</v>
      </c>
      <c r="N68" s="15">
        <v>1.2635000000000001</v>
      </c>
      <c r="P68" s="22">
        <v>38835</v>
      </c>
      <c r="Q68" s="15">
        <v>1.2387999999999999</v>
      </c>
      <c r="S68" s="22">
        <v>38835</v>
      </c>
      <c r="T68" s="15">
        <v>1.117</v>
      </c>
      <c r="V68" s="22">
        <v>38835</v>
      </c>
      <c r="W68" s="15">
        <v>1.3153999999999999</v>
      </c>
      <c r="Y68" s="22">
        <v>38835</v>
      </c>
      <c r="Z68" s="15">
        <v>1.5696000000000001</v>
      </c>
    </row>
    <row r="69" spans="1:26" x14ac:dyDescent="0.25">
      <c r="A69" s="22">
        <v>38868</v>
      </c>
      <c r="B69" s="14">
        <v>9255</v>
      </c>
      <c r="D69" s="22">
        <v>38868</v>
      </c>
      <c r="E69" s="15">
        <v>38.11</v>
      </c>
      <c r="G69" s="22">
        <v>38868</v>
      </c>
      <c r="H69" s="15">
        <v>1.5768</v>
      </c>
      <c r="J69" s="22">
        <v>38868</v>
      </c>
      <c r="K69" s="14">
        <v>15958</v>
      </c>
      <c r="M69" s="22">
        <v>38868</v>
      </c>
      <c r="N69" s="15">
        <v>1.2828999999999999</v>
      </c>
      <c r="P69" s="22">
        <v>38868</v>
      </c>
      <c r="Q69" s="15">
        <v>1.2165999999999999</v>
      </c>
      <c r="S69" s="22">
        <v>38868</v>
      </c>
      <c r="T69" s="15">
        <v>1.1027</v>
      </c>
      <c r="V69" s="22">
        <v>38868</v>
      </c>
      <c r="W69" s="15">
        <v>1.3281000000000001</v>
      </c>
      <c r="Y69" s="22">
        <v>38868</v>
      </c>
      <c r="Z69" s="15">
        <v>1.5706</v>
      </c>
    </row>
    <row r="70" spans="1:26" x14ac:dyDescent="0.25">
      <c r="A70" s="22">
        <v>38898</v>
      </c>
      <c r="B70" s="14">
        <v>9263</v>
      </c>
      <c r="D70" s="22">
        <v>38898</v>
      </c>
      <c r="E70" s="15">
        <v>38.159999999999997</v>
      </c>
      <c r="G70" s="22">
        <v>38898</v>
      </c>
      <c r="H70" s="15">
        <v>1.5834999999999999</v>
      </c>
      <c r="J70" s="22">
        <v>38898</v>
      </c>
      <c r="K70" s="14">
        <v>15996</v>
      </c>
      <c r="M70" s="22">
        <v>38898</v>
      </c>
      <c r="N70" s="15">
        <v>1.2790999999999999</v>
      </c>
      <c r="P70" s="22">
        <v>38898</v>
      </c>
      <c r="Q70" s="15">
        <v>1.2231000000000001</v>
      </c>
      <c r="S70" s="22">
        <v>38898</v>
      </c>
      <c r="T70" s="15">
        <v>1.117</v>
      </c>
      <c r="V70" s="22">
        <v>38898</v>
      </c>
      <c r="W70" s="15">
        <v>1.3467</v>
      </c>
      <c r="Y70" s="22">
        <v>38898</v>
      </c>
      <c r="Z70" s="15">
        <v>1.6415</v>
      </c>
    </row>
    <row r="71" spans="1:26" x14ac:dyDescent="0.25">
      <c r="A71" s="22">
        <v>38929</v>
      </c>
      <c r="B71" s="14">
        <v>9070</v>
      </c>
      <c r="D71" s="22">
        <v>38929</v>
      </c>
      <c r="E71" s="15">
        <v>37.840000000000003</v>
      </c>
      <c r="G71" s="22">
        <v>38929</v>
      </c>
      <c r="H71" s="15">
        <v>1.579</v>
      </c>
      <c r="J71" s="22">
        <v>38929</v>
      </c>
      <c r="K71" s="14">
        <v>16006</v>
      </c>
      <c r="M71" s="22">
        <v>38929</v>
      </c>
      <c r="N71" s="15">
        <v>1.2766</v>
      </c>
      <c r="P71" s="22">
        <v>38929</v>
      </c>
      <c r="Q71" s="15">
        <v>1.2315</v>
      </c>
      <c r="S71" s="22">
        <v>38929</v>
      </c>
      <c r="T71" s="15">
        <v>1.1315</v>
      </c>
      <c r="V71" s="22">
        <v>38929</v>
      </c>
      <c r="W71" s="15">
        <v>1.3053999999999999</v>
      </c>
      <c r="Y71" s="22">
        <v>38929</v>
      </c>
      <c r="Z71" s="15">
        <v>1.6221000000000001</v>
      </c>
    </row>
    <row r="72" spans="1:26" x14ac:dyDescent="0.25">
      <c r="A72" s="22">
        <v>38960</v>
      </c>
      <c r="B72" s="14">
        <v>9079</v>
      </c>
      <c r="D72" s="22">
        <v>38960</v>
      </c>
      <c r="E72" s="15">
        <v>37.58</v>
      </c>
      <c r="G72" s="22">
        <v>38960</v>
      </c>
      <c r="H72" s="15">
        <v>1.5737000000000001</v>
      </c>
      <c r="J72" s="22">
        <v>38960</v>
      </c>
      <c r="K72" s="14">
        <v>16014</v>
      </c>
      <c r="M72" s="22">
        <v>38960</v>
      </c>
      <c r="N72" s="15">
        <v>1.2795000000000001</v>
      </c>
      <c r="P72" s="22">
        <v>38960</v>
      </c>
      <c r="Q72" s="15">
        <v>1.2332000000000001</v>
      </c>
      <c r="S72" s="22">
        <v>38960</v>
      </c>
      <c r="T72" s="15">
        <v>1.1069</v>
      </c>
      <c r="V72" s="22">
        <v>38960</v>
      </c>
      <c r="W72" s="15">
        <v>1.3117000000000001</v>
      </c>
      <c r="Y72" s="22">
        <v>38960</v>
      </c>
      <c r="Z72" s="15">
        <v>1.5239</v>
      </c>
    </row>
    <row r="73" spans="1:26" x14ac:dyDescent="0.25">
      <c r="A73" s="22">
        <v>38989</v>
      </c>
      <c r="B73" s="14">
        <v>9220</v>
      </c>
      <c r="D73" s="22">
        <v>38989</v>
      </c>
      <c r="E73" s="15">
        <v>37.575000000000003</v>
      </c>
      <c r="G73" s="22">
        <v>38989</v>
      </c>
      <c r="H73" s="15">
        <v>1.5861000000000001</v>
      </c>
      <c r="J73" s="22">
        <v>38989</v>
      </c>
      <c r="K73" s="14">
        <v>16055</v>
      </c>
      <c r="M73" s="22">
        <v>38989</v>
      </c>
      <c r="N73" s="15">
        <v>1.2674000000000001</v>
      </c>
      <c r="P73" s="22">
        <v>38989</v>
      </c>
      <c r="Q73" s="15">
        <v>1.2505999999999999</v>
      </c>
      <c r="S73" s="22">
        <v>38989</v>
      </c>
      <c r="T73" s="15">
        <v>1.1180000000000001</v>
      </c>
      <c r="V73" s="22">
        <v>38989</v>
      </c>
      <c r="W73" s="15">
        <v>1.3395999999999999</v>
      </c>
      <c r="Y73" s="22">
        <v>38989</v>
      </c>
      <c r="Z73" s="15">
        <v>1.5302</v>
      </c>
    </row>
    <row r="74" spans="1:26" x14ac:dyDescent="0.25">
      <c r="A74" s="22">
        <v>39021</v>
      </c>
      <c r="B74" s="14">
        <v>9110</v>
      </c>
      <c r="D74" s="22">
        <v>39021</v>
      </c>
      <c r="E74" s="15">
        <v>36.72</v>
      </c>
      <c r="G74" s="22">
        <v>39021</v>
      </c>
      <c r="H74" s="15">
        <v>1.5573999999999999</v>
      </c>
      <c r="J74" s="22">
        <v>39021</v>
      </c>
      <c r="K74" s="14">
        <v>16075</v>
      </c>
      <c r="M74" s="22">
        <v>39021</v>
      </c>
      <c r="N74" s="15">
        <v>1.2769999999999999</v>
      </c>
      <c r="P74" s="22">
        <v>39021</v>
      </c>
      <c r="Q74" s="15">
        <v>1.2421</v>
      </c>
      <c r="S74" s="22">
        <v>39021</v>
      </c>
      <c r="T74" s="15">
        <v>1.1220000000000001</v>
      </c>
      <c r="V74" s="22">
        <v>39021</v>
      </c>
      <c r="W74" s="15">
        <v>1.2902</v>
      </c>
      <c r="Y74" s="22">
        <v>39021</v>
      </c>
      <c r="Z74" s="15">
        <v>1.4910000000000001</v>
      </c>
    </row>
    <row r="75" spans="1:26" x14ac:dyDescent="0.25">
      <c r="A75" s="22">
        <v>39051</v>
      </c>
      <c r="B75" s="14">
        <v>9148</v>
      </c>
      <c r="D75" s="22">
        <v>39051</v>
      </c>
      <c r="E75" s="15">
        <v>35.895000000000003</v>
      </c>
      <c r="G75" s="22">
        <v>39051</v>
      </c>
      <c r="H75" s="15">
        <v>1.5396000000000001</v>
      </c>
      <c r="J75" s="22">
        <v>39051</v>
      </c>
      <c r="K75" s="14">
        <v>16070</v>
      </c>
      <c r="M75" s="22">
        <v>39051</v>
      </c>
      <c r="N75" s="15">
        <v>1.3254999999999999</v>
      </c>
      <c r="P75" s="22">
        <v>39051</v>
      </c>
      <c r="Q75" s="15">
        <v>1.1975</v>
      </c>
      <c r="S75" s="22">
        <v>39051</v>
      </c>
      <c r="T75" s="15">
        <v>1.1414</v>
      </c>
      <c r="V75" s="22">
        <v>39051</v>
      </c>
      <c r="W75" s="15">
        <v>1.2677</v>
      </c>
      <c r="Y75" s="22">
        <v>39051</v>
      </c>
      <c r="Z75" s="15">
        <v>1.4601</v>
      </c>
    </row>
    <row r="76" spans="1:26" x14ac:dyDescent="0.25">
      <c r="A76" s="22">
        <v>39080</v>
      </c>
      <c r="B76" s="14">
        <v>8994</v>
      </c>
      <c r="D76" s="22">
        <v>39080</v>
      </c>
      <c r="E76" s="15">
        <v>36.075000000000003</v>
      </c>
      <c r="G76" s="22">
        <v>39080</v>
      </c>
      <c r="H76" s="15">
        <v>1.5344</v>
      </c>
      <c r="J76" s="22">
        <v>39080</v>
      </c>
      <c r="K76" s="14">
        <v>16056</v>
      </c>
      <c r="M76" s="22">
        <v>39080</v>
      </c>
      <c r="N76" s="15">
        <v>1.3197000000000001</v>
      </c>
      <c r="P76" s="22">
        <v>39080</v>
      </c>
      <c r="Q76" s="15">
        <v>1.2201</v>
      </c>
      <c r="S76" s="22">
        <v>39080</v>
      </c>
      <c r="T76" s="15">
        <v>1.1657999999999999</v>
      </c>
      <c r="V76" s="22">
        <v>39080</v>
      </c>
      <c r="W76" s="15">
        <v>1.2685</v>
      </c>
      <c r="Y76" s="22">
        <v>39080</v>
      </c>
      <c r="Z76" s="15">
        <v>1.4211</v>
      </c>
    </row>
    <row r="77" spans="1:26" x14ac:dyDescent="0.25">
      <c r="A77" s="22">
        <v>39113</v>
      </c>
      <c r="B77" s="14">
        <v>9100</v>
      </c>
      <c r="D77" s="22">
        <v>39113</v>
      </c>
      <c r="E77" s="15">
        <v>35.814999999999998</v>
      </c>
      <c r="G77" s="22">
        <v>39113</v>
      </c>
      <c r="H77" s="15">
        <v>1.5364</v>
      </c>
      <c r="J77" s="22">
        <v>39113</v>
      </c>
      <c r="K77" s="14">
        <v>16040</v>
      </c>
      <c r="M77" s="22">
        <v>39113</v>
      </c>
      <c r="N77" s="15">
        <v>1.3008999999999999</v>
      </c>
      <c r="P77" s="22">
        <v>39113</v>
      </c>
      <c r="Q77" s="15">
        <v>1.246</v>
      </c>
      <c r="S77" s="22">
        <v>39113</v>
      </c>
      <c r="T77" s="15">
        <v>1.1794</v>
      </c>
      <c r="V77" s="22">
        <v>39113</v>
      </c>
      <c r="W77" s="15">
        <v>1.2922</v>
      </c>
      <c r="Y77" s="22">
        <v>39113</v>
      </c>
      <c r="Z77" s="15">
        <v>1.4579</v>
      </c>
    </row>
    <row r="78" spans="1:26" x14ac:dyDescent="0.25">
      <c r="A78" s="22">
        <v>39141</v>
      </c>
      <c r="B78" s="14">
        <v>9132</v>
      </c>
      <c r="D78" s="22">
        <v>39141</v>
      </c>
      <c r="E78" s="15">
        <v>35.505000000000003</v>
      </c>
      <c r="G78" s="22">
        <v>39141</v>
      </c>
      <c r="H78" s="15">
        <v>1.528</v>
      </c>
      <c r="J78" s="22">
        <v>39141</v>
      </c>
      <c r="K78" s="14">
        <v>15994</v>
      </c>
      <c r="M78" s="22">
        <v>39141</v>
      </c>
      <c r="N78" s="15">
        <v>1.3228</v>
      </c>
      <c r="P78" s="22">
        <v>39141</v>
      </c>
      <c r="Q78" s="15">
        <v>1.2189000000000001</v>
      </c>
      <c r="S78" s="22">
        <v>39141</v>
      </c>
      <c r="T78" s="15">
        <v>1.1705000000000001</v>
      </c>
      <c r="V78" s="22">
        <v>39141</v>
      </c>
      <c r="W78" s="15">
        <v>1.2676000000000001</v>
      </c>
      <c r="Y78" s="22">
        <v>39141</v>
      </c>
      <c r="Z78" s="15">
        <v>1.4257</v>
      </c>
    </row>
    <row r="79" spans="1:26" x14ac:dyDescent="0.25">
      <c r="A79" s="22">
        <v>39171</v>
      </c>
      <c r="B79" s="14">
        <v>9120</v>
      </c>
      <c r="D79" s="22">
        <v>39171</v>
      </c>
      <c r="E79" s="15">
        <v>35.020000000000003</v>
      </c>
      <c r="G79" s="22">
        <v>39171</v>
      </c>
      <c r="H79" s="15">
        <v>1.5165</v>
      </c>
      <c r="J79" s="22">
        <v>39171</v>
      </c>
      <c r="K79" s="14">
        <v>16020</v>
      </c>
      <c r="M79" s="22">
        <v>39171</v>
      </c>
      <c r="N79" s="15">
        <v>1.3354999999999999</v>
      </c>
      <c r="P79" s="22">
        <v>39171</v>
      </c>
      <c r="Q79" s="15">
        <v>1.2156</v>
      </c>
      <c r="S79" s="22">
        <v>39171</v>
      </c>
      <c r="T79" s="15">
        <v>1.1539999999999999</v>
      </c>
      <c r="V79" s="22">
        <v>39171</v>
      </c>
      <c r="W79" s="15">
        <v>1.234</v>
      </c>
      <c r="Y79" s="22">
        <v>39171</v>
      </c>
      <c r="Z79" s="15">
        <v>1.397</v>
      </c>
    </row>
    <row r="80" spans="1:26" x14ac:dyDescent="0.25">
      <c r="A80" s="22">
        <v>39202</v>
      </c>
      <c r="B80" s="14">
        <v>9083</v>
      </c>
      <c r="D80" s="22">
        <v>39202</v>
      </c>
      <c r="E80" s="15">
        <v>34.773000000000003</v>
      </c>
      <c r="G80" s="22">
        <v>39202</v>
      </c>
      <c r="H80" s="15">
        <v>1.5196000000000001</v>
      </c>
      <c r="J80" s="22">
        <v>39202</v>
      </c>
      <c r="K80" s="14">
        <v>16046</v>
      </c>
      <c r="M80" s="22">
        <v>39202</v>
      </c>
      <c r="N80" s="15">
        <v>1.3668</v>
      </c>
      <c r="P80" s="22">
        <v>39202</v>
      </c>
      <c r="Q80" s="15">
        <v>1.2057</v>
      </c>
      <c r="S80" s="22">
        <v>39202</v>
      </c>
      <c r="T80" s="15">
        <v>1.1073999999999999</v>
      </c>
      <c r="V80" s="22">
        <v>39202</v>
      </c>
      <c r="W80" s="15">
        <v>1.2019</v>
      </c>
      <c r="Y80" s="22">
        <v>39202</v>
      </c>
      <c r="Z80" s="15">
        <v>1.3478000000000001</v>
      </c>
    </row>
    <row r="81" spans="1:26" x14ac:dyDescent="0.25">
      <c r="A81" s="22">
        <v>39233</v>
      </c>
      <c r="B81" s="14">
        <v>8827</v>
      </c>
      <c r="D81" s="22">
        <v>39233</v>
      </c>
      <c r="E81" s="15">
        <v>34.625</v>
      </c>
      <c r="G81" s="22">
        <v>39233</v>
      </c>
      <c r="H81" s="15">
        <v>1.5310999999999999</v>
      </c>
      <c r="J81" s="22">
        <v>39233</v>
      </c>
      <c r="K81" s="14">
        <v>16090</v>
      </c>
      <c r="M81" s="22">
        <v>39233</v>
      </c>
      <c r="N81" s="15">
        <v>1.3447</v>
      </c>
      <c r="P81" s="22">
        <v>39233</v>
      </c>
      <c r="Q81" s="15">
        <v>1.2258</v>
      </c>
      <c r="S81" s="22">
        <v>39233</v>
      </c>
      <c r="T81" s="15">
        <v>1.0701000000000001</v>
      </c>
      <c r="V81" s="22">
        <v>39233</v>
      </c>
      <c r="W81" s="15">
        <v>1.2098</v>
      </c>
      <c r="Y81" s="22">
        <v>39233</v>
      </c>
      <c r="Z81" s="15">
        <v>1.3587</v>
      </c>
    </row>
    <row r="82" spans="1:26" x14ac:dyDescent="0.25">
      <c r="A82" s="22">
        <v>39262</v>
      </c>
      <c r="B82" s="14">
        <v>9005</v>
      </c>
      <c r="D82" s="22">
        <v>39262</v>
      </c>
      <c r="E82" s="15">
        <v>34.524999999999999</v>
      </c>
      <c r="G82" s="22">
        <v>39262</v>
      </c>
      <c r="H82" s="15">
        <v>1.5304</v>
      </c>
      <c r="J82" s="22">
        <v>39262</v>
      </c>
      <c r="K82" s="14">
        <v>16130</v>
      </c>
      <c r="M82" s="22">
        <v>39262</v>
      </c>
      <c r="N82" s="15">
        <v>1.3541000000000001</v>
      </c>
      <c r="P82" s="22">
        <v>39262</v>
      </c>
      <c r="Q82" s="15">
        <v>1.2216</v>
      </c>
      <c r="S82" s="22">
        <v>39262</v>
      </c>
      <c r="T82" s="15">
        <v>1.0653999999999999</v>
      </c>
      <c r="V82" s="22">
        <v>39262</v>
      </c>
      <c r="W82" s="15">
        <v>1.1762999999999999</v>
      </c>
      <c r="Y82" s="22">
        <v>39262</v>
      </c>
      <c r="Z82" s="15">
        <v>1.2948</v>
      </c>
    </row>
    <row r="83" spans="1:26" x14ac:dyDescent="0.25">
      <c r="A83" s="22">
        <v>39294</v>
      </c>
      <c r="B83" s="14">
        <v>9205</v>
      </c>
      <c r="D83" s="22">
        <v>39294</v>
      </c>
      <c r="E83" s="15">
        <v>33.774999999999999</v>
      </c>
      <c r="G83" s="22">
        <v>39294</v>
      </c>
      <c r="H83" s="15">
        <v>1.5147999999999999</v>
      </c>
      <c r="J83" s="22">
        <v>39294</v>
      </c>
      <c r="K83" s="14">
        <v>16140</v>
      </c>
      <c r="M83" s="22">
        <v>39294</v>
      </c>
      <c r="N83" s="15">
        <v>1.3693</v>
      </c>
      <c r="P83" s="22">
        <v>39294</v>
      </c>
      <c r="Q83" s="15">
        <v>1.2035</v>
      </c>
      <c r="S83" s="22">
        <v>39294</v>
      </c>
      <c r="T83" s="15">
        <v>1.0640000000000001</v>
      </c>
      <c r="V83" s="22">
        <v>39294</v>
      </c>
      <c r="W83" s="15">
        <v>1.1645000000000001</v>
      </c>
      <c r="Y83" s="22">
        <v>39294</v>
      </c>
      <c r="Z83" s="15">
        <v>1.2972999999999999</v>
      </c>
    </row>
    <row r="84" spans="1:26" x14ac:dyDescent="0.25">
      <c r="A84" s="22">
        <v>39325</v>
      </c>
      <c r="B84" s="14">
        <v>9385</v>
      </c>
      <c r="D84" s="22">
        <v>39325</v>
      </c>
      <c r="E84" s="15">
        <v>34.31</v>
      </c>
      <c r="G84" s="22">
        <v>39325</v>
      </c>
      <c r="H84" s="15">
        <v>1.5254000000000001</v>
      </c>
      <c r="J84" s="22">
        <v>39325</v>
      </c>
      <c r="K84" s="14">
        <v>16240</v>
      </c>
      <c r="M84" s="22">
        <v>39325</v>
      </c>
      <c r="N84" s="15">
        <v>1.363</v>
      </c>
      <c r="P84" s="22">
        <v>39325</v>
      </c>
      <c r="Q84" s="15">
        <v>1.2083999999999999</v>
      </c>
      <c r="S84" s="22">
        <v>39325</v>
      </c>
      <c r="T84" s="15">
        <v>1.0557000000000001</v>
      </c>
      <c r="V84" s="22">
        <v>39325</v>
      </c>
      <c r="W84" s="15">
        <v>1.2253000000000001</v>
      </c>
      <c r="Y84" s="22">
        <v>39325</v>
      </c>
      <c r="Z84" s="15">
        <v>1.4298999999999999</v>
      </c>
    </row>
    <row r="85" spans="1:26" x14ac:dyDescent="0.25">
      <c r="A85" s="22">
        <v>39353</v>
      </c>
      <c r="B85" s="14">
        <v>9115</v>
      </c>
      <c r="D85" s="22">
        <v>39353</v>
      </c>
      <c r="E85" s="15">
        <v>34.274999999999999</v>
      </c>
      <c r="G85" s="22">
        <v>39353</v>
      </c>
      <c r="H85" s="15">
        <v>1.4843</v>
      </c>
      <c r="J85" s="22">
        <v>39353</v>
      </c>
      <c r="K85" s="14">
        <v>16086</v>
      </c>
      <c r="M85" s="22">
        <v>39353</v>
      </c>
      <c r="N85" s="15">
        <v>1.4267000000000001</v>
      </c>
      <c r="P85" s="22">
        <v>39353</v>
      </c>
      <c r="Q85" s="15">
        <v>1.1637999999999999</v>
      </c>
      <c r="S85" s="22">
        <v>39353</v>
      </c>
      <c r="T85" s="15">
        <v>0.99229999999999996</v>
      </c>
      <c r="V85" s="22">
        <v>39353</v>
      </c>
      <c r="W85" s="15">
        <v>1.1289</v>
      </c>
      <c r="Y85" s="22">
        <v>39353</v>
      </c>
      <c r="Z85" s="15">
        <v>1.3218000000000001</v>
      </c>
    </row>
    <row r="86" spans="1:26" x14ac:dyDescent="0.25">
      <c r="A86" s="22">
        <v>39386</v>
      </c>
      <c r="B86" s="14">
        <v>9092</v>
      </c>
      <c r="D86" s="22">
        <v>39386</v>
      </c>
      <c r="E86" s="15">
        <v>33.984999999999999</v>
      </c>
      <c r="G86" s="22">
        <v>39386</v>
      </c>
      <c r="H86" s="15">
        <v>1.4487000000000001</v>
      </c>
      <c r="J86" s="22">
        <v>39386</v>
      </c>
      <c r="K86" s="14">
        <v>16081</v>
      </c>
      <c r="M86" s="22">
        <v>39386</v>
      </c>
      <c r="N86" s="15">
        <v>1.4464999999999999</v>
      </c>
      <c r="P86" s="22">
        <v>39386</v>
      </c>
      <c r="Q86" s="15">
        <v>1.1591</v>
      </c>
      <c r="S86" s="22">
        <v>39386</v>
      </c>
      <c r="T86" s="15">
        <v>0.95009999999999994</v>
      </c>
      <c r="V86" s="22">
        <v>39386</v>
      </c>
      <c r="W86" s="15">
        <v>1.0795999999999999</v>
      </c>
      <c r="Y86" s="22">
        <v>39386</v>
      </c>
      <c r="Z86" s="15">
        <v>1.3009999999999999</v>
      </c>
    </row>
    <row r="87" spans="1:26" x14ac:dyDescent="0.25">
      <c r="A87" s="22">
        <v>39416</v>
      </c>
      <c r="B87" s="14">
        <v>9317</v>
      </c>
      <c r="D87" s="22">
        <v>39416</v>
      </c>
      <c r="E87" s="15">
        <v>33.847999999999999</v>
      </c>
      <c r="G87" s="22">
        <v>39416</v>
      </c>
      <c r="H87" s="15">
        <v>1.4463999999999999</v>
      </c>
      <c r="J87" s="22">
        <v>39416</v>
      </c>
      <c r="K87" s="14">
        <v>16045</v>
      </c>
      <c r="M87" s="22">
        <v>39416</v>
      </c>
      <c r="N87" s="15">
        <v>1.4633</v>
      </c>
      <c r="P87" s="22">
        <v>39416</v>
      </c>
      <c r="Q87" s="15">
        <v>1.1317999999999999</v>
      </c>
      <c r="S87" s="22">
        <v>39416</v>
      </c>
      <c r="T87" s="15">
        <v>0.99870000000000003</v>
      </c>
      <c r="V87" s="22">
        <v>39416</v>
      </c>
      <c r="W87" s="15">
        <v>1.1325000000000001</v>
      </c>
      <c r="Y87" s="22">
        <v>39416</v>
      </c>
      <c r="Z87" s="15">
        <v>1.3104</v>
      </c>
    </row>
    <row r="88" spans="1:26" x14ac:dyDescent="0.25">
      <c r="A88" s="22">
        <v>39447</v>
      </c>
      <c r="B88" s="14">
        <v>9393</v>
      </c>
      <c r="D88" s="22">
        <v>39447</v>
      </c>
      <c r="E88" s="15">
        <v>33.685000000000002</v>
      </c>
      <c r="G88" s="22">
        <v>39447</v>
      </c>
      <c r="H88" s="15">
        <v>1.4383999999999999</v>
      </c>
      <c r="J88" s="22">
        <v>39447</v>
      </c>
      <c r="K88" s="14">
        <v>16017</v>
      </c>
      <c r="M88" s="22">
        <v>39447</v>
      </c>
      <c r="N88" s="15">
        <v>1.4582999999999999</v>
      </c>
      <c r="P88" s="22">
        <v>39447</v>
      </c>
      <c r="Q88" s="15">
        <v>1.1359999999999999</v>
      </c>
      <c r="S88" s="22">
        <v>39447</v>
      </c>
      <c r="T88" s="15">
        <v>0.99109999999999998</v>
      </c>
      <c r="V88" s="22">
        <v>39447</v>
      </c>
      <c r="W88" s="15">
        <v>1.1404000000000001</v>
      </c>
      <c r="Y88" s="22">
        <v>39447</v>
      </c>
      <c r="Z88" s="15">
        <v>1.3049999999999999</v>
      </c>
    </row>
    <row r="89" spans="1:26" x14ac:dyDescent="0.25">
      <c r="A89" s="22">
        <v>39478</v>
      </c>
      <c r="B89" s="14">
        <v>9245</v>
      </c>
      <c r="D89" s="22">
        <v>39478</v>
      </c>
      <c r="E89" s="15">
        <v>33.015000000000001</v>
      </c>
      <c r="G89" s="22">
        <v>39478</v>
      </c>
      <c r="H89" s="15">
        <v>1.4172</v>
      </c>
      <c r="J89" s="22">
        <v>39478</v>
      </c>
      <c r="K89" s="14">
        <v>15971</v>
      </c>
      <c r="M89" s="22">
        <v>39478</v>
      </c>
      <c r="N89" s="15">
        <v>1.4849000000000001</v>
      </c>
      <c r="P89" s="22">
        <v>39478</v>
      </c>
      <c r="Q89" s="15">
        <v>1.0827</v>
      </c>
      <c r="S89" s="22">
        <v>39478</v>
      </c>
      <c r="T89" s="15">
        <v>1.0032000000000001</v>
      </c>
      <c r="V89" s="22">
        <v>39478</v>
      </c>
      <c r="W89" s="15">
        <v>1.1161000000000001</v>
      </c>
      <c r="Y89" s="22">
        <v>39478</v>
      </c>
      <c r="Z89" s="15">
        <v>1.2688999999999999</v>
      </c>
    </row>
    <row r="90" spans="1:26" x14ac:dyDescent="0.25">
      <c r="A90" s="22">
        <v>39507</v>
      </c>
      <c r="B90" s="14">
        <v>9114</v>
      </c>
      <c r="D90" s="22">
        <v>39507</v>
      </c>
      <c r="E90" s="15">
        <v>31.475000000000001</v>
      </c>
      <c r="G90" s="22">
        <v>39507</v>
      </c>
      <c r="H90" s="15">
        <v>1.3936999999999999</v>
      </c>
      <c r="J90" s="22">
        <v>39507</v>
      </c>
      <c r="K90" s="14">
        <v>15931</v>
      </c>
      <c r="M90" s="22">
        <v>39507</v>
      </c>
      <c r="N90" s="15">
        <v>1.5179</v>
      </c>
      <c r="P90" s="22">
        <v>39507</v>
      </c>
      <c r="Q90" s="15">
        <v>1.0412999999999999</v>
      </c>
      <c r="S90" s="22">
        <v>39507</v>
      </c>
      <c r="T90" s="15">
        <v>0.98780000000000001</v>
      </c>
      <c r="V90" s="22">
        <v>39507</v>
      </c>
      <c r="W90" s="15">
        <v>1.0681</v>
      </c>
      <c r="Y90" s="22">
        <v>39507</v>
      </c>
      <c r="Z90" s="15">
        <v>1.2452000000000001</v>
      </c>
    </row>
    <row r="91" spans="1:26" x14ac:dyDescent="0.25">
      <c r="A91" s="22">
        <v>39538</v>
      </c>
      <c r="B91" s="14">
        <v>9205</v>
      </c>
      <c r="D91" s="22">
        <v>39538</v>
      </c>
      <c r="E91" s="15">
        <v>31.425000000000001</v>
      </c>
      <c r="G91" s="22">
        <v>39538</v>
      </c>
      <c r="H91" s="15">
        <v>1.3801000000000001</v>
      </c>
      <c r="J91" s="22">
        <v>39538</v>
      </c>
      <c r="K91" s="14">
        <v>16110</v>
      </c>
      <c r="M91" s="22">
        <v>39538</v>
      </c>
      <c r="N91" s="15">
        <v>1.5809</v>
      </c>
      <c r="P91" s="22">
        <v>39538</v>
      </c>
      <c r="Q91" s="15">
        <v>0.99219999999999997</v>
      </c>
      <c r="S91" s="22">
        <v>39538</v>
      </c>
      <c r="T91" s="15">
        <v>1.0273000000000001</v>
      </c>
      <c r="V91" s="22">
        <v>39538</v>
      </c>
      <c r="W91" s="15">
        <v>1.0947</v>
      </c>
      <c r="Y91" s="22">
        <v>39538</v>
      </c>
      <c r="Z91" s="15">
        <v>1.2707999999999999</v>
      </c>
    </row>
    <row r="92" spans="1:26" x14ac:dyDescent="0.25">
      <c r="A92" s="22">
        <v>39568</v>
      </c>
      <c r="B92" s="14">
        <v>9231</v>
      </c>
      <c r="D92" s="22">
        <v>39568</v>
      </c>
      <c r="E92" s="15">
        <v>31.62</v>
      </c>
      <c r="G92" s="22">
        <v>39568</v>
      </c>
      <c r="H92" s="15">
        <v>1.3574999999999999</v>
      </c>
      <c r="J92" s="22">
        <v>39568</v>
      </c>
      <c r="K92" s="14">
        <v>16122</v>
      </c>
      <c r="M92" s="22">
        <v>39568</v>
      </c>
      <c r="N92" s="15">
        <v>1.5570999999999999</v>
      </c>
      <c r="P92" s="22">
        <v>39568</v>
      </c>
      <c r="Q92" s="15">
        <v>1.0403</v>
      </c>
      <c r="S92" s="22">
        <v>39568</v>
      </c>
      <c r="T92" s="15">
        <v>1.0085</v>
      </c>
      <c r="V92" s="22">
        <v>39568</v>
      </c>
      <c r="W92" s="15">
        <v>1.0603</v>
      </c>
      <c r="Y92" s="22">
        <v>39568</v>
      </c>
      <c r="Z92" s="15">
        <v>1.2775000000000001</v>
      </c>
    </row>
    <row r="93" spans="1:26" x14ac:dyDescent="0.25">
      <c r="A93" s="22">
        <v>39598</v>
      </c>
      <c r="B93" s="14">
        <v>9285</v>
      </c>
      <c r="D93" s="22">
        <v>39598</v>
      </c>
      <c r="E93" s="15">
        <v>32.44</v>
      </c>
      <c r="G93" s="22">
        <v>39598</v>
      </c>
      <c r="H93" s="15">
        <v>1.3633999999999999</v>
      </c>
      <c r="J93" s="22">
        <v>39598</v>
      </c>
      <c r="K93" s="14">
        <v>16246</v>
      </c>
      <c r="M93" s="22">
        <v>39598</v>
      </c>
      <c r="N93" s="15">
        <v>1.5555000000000001</v>
      </c>
      <c r="P93" s="22">
        <v>39598</v>
      </c>
      <c r="Q93" s="15">
        <v>1.0423</v>
      </c>
      <c r="S93" s="22">
        <v>39598</v>
      </c>
      <c r="T93" s="15">
        <v>0.99339999999999995</v>
      </c>
      <c r="V93" s="22">
        <v>39598</v>
      </c>
      <c r="W93" s="15">
        <v>1.0466</v>
      </c>
      <c r="Y93" s="22">
        <v>39598</v>
      </c>
      <c r="Z93" s="15">
        <v>1.276</v>
      </c>
    </row>
    <row r="94" spans="1:26" x14ac:dyDescent="0.25">
      <c r="A94" s="22">
        <v>39629</v>
      </c>
      <c r="B94" s="14">
        <v>9226</v>
      </c>
      <c r="D94" s="22">
        <v>39629</v>
      </c>
      <c r="E94" s="15">
        <v>33.46</v>
      </c>
      <c r="G94" s="22">
        <v>39629</v>
      </c>
      <c r="H94" s="15">
        <v>1.361</v>
      </c>
      <c r="J94" s="22">
        <v>39629</v>
      </c>
      <c r="K94" s="14">
        <v>16842</v>
      </c>
      <c r="M94" s="22">
        <v>39629</v>
      </c>
      <c r="N94" s="15">
        <v>1.5736000000000001</v>
      </c>
      <c r="P94" s="22">
        <v>39629</v>
      </c>
      <c r="Q94" s="15">
        <v>1.0208999999999999</v>
      </c>
      <c r="S94" s="22">
        <v>39629</v>
      </c>
      <c r="T94" s="15">
        <v>1.0181</v>
      </c>
      <c r="V94" s="22">
        <v>39629</v>
      </c>
      <c r="W94" s="15">
        <v>1.0449999999999999</v>
      </c>
      <c r="Y94" s="22">
        <v>39629</v>
      </c>
      <c r="Z94" s="15">
        <v>1.3146</v>
      </c>
    </row>
    <row r="95" spans="1:26" x14ac:dyDescent="0.25">
      <c r="A95" s="22">
        <v>39660</v>
      </c>
      <c r="B95" s="14">
        <v>9095</v>
      </c>
      <c r="D95" s="22">
        <v>39660</v>
      </c>
      <c r="E95" s="15">
        <v>33.564999999999998</v>
      </c>
      <c r="G95" s="22">
        <v>39660</v>
      </c>
      <c r="H95" s="15">
        <v>1.3675999999999999</v>
      </c>
      <c r="J95" s="22">
        <v>39660</v>
      </c>
      <c r="K95" s="14">
        <v>16765</v>
      </c>
      <c r="M95" s="22">
        <v>39660</v>
      </c>
      <c r="N95" s="15">
        <v>1.5590999999999999</v>
      </c>
      <c r="P95" s="22">
        <v>39660</v>
      </c>
      <c r="Q95" s="15">
        <v>1.0482</v>
      </c>
      <c r="S95" s="22">
        <v>39660</v>
      </c>
      <c r="T95" s="15">
        <v>1.0249999999999999</v>
      </c>
      <c r="V95" s="22">
        <v>39660</v>
      </c>
      <c r="W95" s="15">
        <v>1.0621</v>
      </c>
      <c r="Y95" s="22">
        <v>39660</v>
      </c>
      <c r="Z95" s="15">
        <v>1.3627</v>
      </c>
    </row>
    <row r="96" spans="1:26" x14ac:dyDescent="0.25">
      <c r="A96" s="22">
        <v>39689</v>
      </c>
      <c r="B96" s="14">
        <v>9148</v>
      </c>
      <c r="D96" s="22">
        <v>39689</v>
      </c>
      <c r="E96" s="15">
        <v>34.198</v>
      </c>
      <c r="G96" s="22">
        <v>39689</v>
      </c>
      <c r="H96" s="15">
        <v>1.4181999999999999</v>
      </c>
      <c r="J96" s="22">
        <v>39689</v>
      </c>
      <c r="K96" s="14">
        <v>16525</v>
      </c>
      <c r="M96" s="22">
        <v>39689</v>
      </c>
      <c r="N96" s="15">
        <v>1.4674</v>
      </c>
      <c r="P96" s="22">
        <v>39689</v>
      </c>
      <c r="Q96" s="15">
        <v>1.1012999999999999</v>
      </c>
      <c r="S96" s="22">
        <v>39689</v>
      </c>
      <c r="T96" s="15">
        <v>1.0637000000000001</v>
      </c>
      <c r="V96" s="22">
        <v>39689</v>
      </c>
      <c r="W96" s="15">
        <v>1.1669</v>
      </c>
      <c r="Y96" s="22">
        <v>39689</v>
      </c>
      <c r="Z96" s="15">
        <v>1.4313</v>
      </c>
    </row>
    <row r="97" spans="1:26" x14ac:dyDescent="0.25">
      <c r="A97" s="22">
        <v>39721</v>
      </c>
      <c r="B97" s="14">
        <v>9590</v>
      </c>
      <c r="D97" s="22">
        <v>39721</v>
      </c>
      <c r="E97" s="15">
        <v>33.825000000000003</v>
      </c>
      <c r="G97" s="22">
        <v>39721</v>
      </c>
      <c r="H97" s="15">
        <v>1.4346000000000001</v>
      </c>
      <c r="J97" s="22">
        <v>39721</v>
      </c>
      <c r="K97" s="14">
        <v>16714</v>
      </c>
      <c r="M97" s="22">
        <v>39721</v>
      </c>
      <c r="N97" s="15">
        <v>1.4066000000000001</v>
      </c>
      <c r="P97" s="22">
        <v>39721</v>
      </c>
      <c r="Q97" s="15">
        <v>1.1220000000000001</v>
      </c>
      <c r="S97" s="22">
        <v>39721</v>
      </c>
      <c r="T97" s="15">
        <v>1.0598000000000001</v>
      </c>
      <c r="V97" s="22">
        <v>39721</v>
      </c>
      <c r="W97" s="15">
        <v>1.2654000000000001</v>
      </c>
      <c r="Y97" s="22">
        <v>39721</v>
      </c>
      <c r="Z97" s="15">
        <v>1.4942</v>
      </c>
    </row>
    <row r="98" spans="1:26" x14ac:dyDescent="0.25">
      <c r="A98" s="22">
        <v>39752</v>
      </c>
      <c r="B98" s="14">
        <v>10850</v>
      </c>
      <c r="D98" s="22">
        <v>39752</v>
      </c>
      <c r="E98" s="15">
        <v>34.994999999999997</v>
      </c>
      <c r="G98" s="22">
        <v>39752</v>
      </c>
      <c r="H98" s="15">
        <v>1.4827999999999999</v>
      </c>
      <c r="J98" s="22">
        <v>39752</v>
      </c>
      <c r="K98" s="14">
        <v>16825</v>
      </c>
      <c r="M98" s="22">
        <v>39752</v>
      </c>
      <c r="N98" s="15">
        <v>1.2726</v>
      </c>
      <c r="P98" s="22">
        <v>39752</v>
      </c>
      <c r="Q98" s="15">
        <v>1.1578999999999999</v>
      </c>
      <c r="S98" s="22">
        <v>39752</v>
      </c>
      <c r="T98" s="15">
        <v>1.2124999999999999</v>
      </c>
      <c r="V98" s="22">
        <v>39752</v>
      </c>
      <c r="W98" s="15">
        <v>1.5047999999999999</v>
      </c>
      <c r="Y98" s="22">
        <v>39752</v>
      </c>
      <c r="Z98" s="15">
        <v>1.7129000000000001</v>
      </c>
    </row>
    <row r="99" spans="1:26" x14ac:dyDescent="0.25">
      <c r="A99" s="22">
        <v>39780</v>
      </c>
      <c r="B99" s="14">
        <v>12025</v>
      </c>
      <c r="D99" s="22">
        <v>39780</v>
      </c>
      <c r="E99" s="15">
        <v>35.47</v>
      </c>
      <c r="G99" s="22">
        <v>39780</v>
      </c>
      <c r="H99" s="15">
        <v>1.512</v>
      </c>
      <c r="J99" s="22">
        <v>39780</v>
      </c>
      <c r="K99" s="14">
        <v>16972</v>
      </c>
      <c r="M99" s="22">
        <v>39780</v>
      </c>
      <c r="N99" s="15">
        <v>1.2690999999999999</v>
      </c>
      <c r="P99" s="22">
        <v>39780</v>
      </c>
      <c r="Q99" s="15">
        <v>1.2136</v>
      </c>
      <c r="S99" s="22">
        <v>39780</v>
      </c>
      <c r="T99" s="15">
        <v>1.2399</v>
      </c>
      <c r="V99" s="22">
        <v>39780</v>
      </c>
      <c r="W99" s="15">
        <v>1.5253000000000001</v>
      </c>
      <c r="Y99" s="22">
        <v>39780</v>
      </c>
      <c r="Z99" s="15">
        <v>1.8188</v>
      </c>
    </row>
    <row r="100" spans="1:26" x14ac:dyDescent="0.25">
      <c r="A100" s="22">
        <v>39813</v>
      </c>
      <c r="B100" s="14">
        <v>11120</v>
      </c>
      <c r="D100" s="22">
        <v>39813</v>
      </c>
      <c r="E100" s="15">
        <v>34.76</v>
      </c>
      <c r="G100" s="22">
        <v>39813</v>
      </c>
      <c r="H100" s="15">
        <v>1.4354</v>
      </c>
      <c r="J100" s="22">
        <v>39813</v>
      </c>
      <c r="K100" s="14">
        <v>17483</v>
      </c>
      <c r="M100" s="22">
        <v>39813</v>
      </c>
      <c r="N100" s="15">
        <v>1.3951</v>
      </c>
      <c r="P100" s="22">
        <v>39813</v>
      </c>
      <c r="Q100" s="15">
        <v>1.0688</v>
      </c>
      <c r="S100" s="22">
        <v>39813</v>
      </c>
      <c r="T100" s="15">
        <v>1.2170000000000001</v>
      </c>
      <c r="V100" s="22">
        <v>39813</v>
      </c>
      <c r="W100" s="15">
        <v>1.419</v>
      </c>
      <c r="Y100" s="22">
        <v>39813</v>
      </c>
      <c r="Z100" s="15">
        <v>1.7051000000000001</v>
      </c>
    </row>
    <row r="101" spans="1:26" x14ac:dyDescent="0.25">
      <c r="A101" s="22">
        <v>39843</v>
      </c>
      <c r="B101" s="14">
        <v>11375</v>
      </c>
      <c r="D101" s="22">
        <v>39843</v>
      </c>
      <c r="E101" s="15">
        <v>34.97</v>
      </c>
      <c r="G101" s="22">
        <v>39843</v>
      </c>
      <c r="H101" s="15">
        <v>1.5098</v>
      </c>
      <c r="J101" s="22">
        <v>39843</v>
      </c>
      <c r="K101" s="14">
        <v>17484</v>
      </c>
      <c r="M101" s="22">
        <v>39843</v>
      </c>
      <c r="N101" s="15">
        <v>1.2813000000000001</v>
      </c>
      <c r="P101" s="22">
        <v>39843</v>
      </c>
      <c r="Q101" s="15">
        <v>1.1618999999999999</v>
      </c>
      <c r="S101" s="22">
        <v>39843</v>
      </c>
      <c r="T101" s="15">
        <v>1.2296</v>
      </c>
      <c r="V101" s="22">
        <v>39843</v>
      </c>
      <c r="W101" s="15">
        <v>1.5692999999999999</v>
      </c>
      <c r="Y101" s="22">
        <v>39843</v>
      </c>
      <c r="Z101" s="15">
        <v>1.9645999999999999</v>
      </c>
    </row>
    <row r="102" spans="1:26" x14ac:dyDescent="0.25">
      <c r="A102" s="22">
        <v>39871</v>
      </c>
      <c r="B102" s="14">
        <v>12000</v>
      </c>
      <c r="D102" s="22">
        <v>39871</v>
      </c>
      <c r="E102" s="15">
        <v>36.19</v>
      </c>
      <c r="G102" s="22">
        <v>39871</v>
      </c>
      <c r="H102" s="15">
        <v>1.5468999999999999</v>
      </c>
      <c r="J102" s="22">
        <v>39871</v>
      </c>
      <c r="K102" s="14">
        <v>17479</v>
      </c>
      <c r="M102" s="22">
        <v>39871</v>
      </c>
      <c r="N102" s="15">
        <v>1.2668999999999999</v>
      </c>
      <c r="P102" s="22">
        <v>39871</v>
      </c>
      <c r="Q102" s="15">
        <v>1.1689000000000001</v>
      </c>
      <c r="S102" s="22">
        <v>39871</v>
      </c>
      <c r="T102" s="15">
        <v>1.2763</v>
      </c>
      <c r="V102" s="22">
        <v>39871</v>
      </c>
      <c r="W102" s="15">
        <v>1.5654999999999999</v>
      </c>
      <c r="Y102" s="22">
        <v>39871</v>
      </c>
      <c r="Z102" s="15">
        <v>1.9955000000000001</v>
      </c>
    </row>
    <row r="103" spans="1:26" x14ac:dyDescent="0.25">
      <c r="A103" s="22">
        <v>39903</v>
      </c>
      <c r="B103" s="14">
        <v>11700</v>
      </c>
      <c r="D103" s="22">
        <v>39903</v>
      </c>
      <c r="E103" s="15">
        <v>35.49</v>
      </c>
      <c r="G103" s="22">
        <v>39903</v>
      </c>
      <c r="H103" s="15">
        <v>1.5222</v>
      </c>
      <c r="J103" s="22">
        <v>39903</v>
      </c>
      <c r="K103" s="14">
        <v>17797</v>
      </c>
      <c r="M103" s="22">
        <v>39903</v>
      </c>
      <c r="N103" s="15">
        <v>1.3229</v>
      </c>
      <c r="P103" s="22">
        <v>39903</v>
      </c>
      <c r="Q103" s="15">
        <v>1.1433</v>
      </c>
      <c r="S103" s="22">
        <v>39903</v>
      </c>
      <c r="T103" s="15">
        <v>1.2622</v>
      </c>
      <c r="V103" s="22">
        <v>39903</v>
      </c>
      <c r="W103" s="15">
        <v>1.4436</v>
      </c>
      <c r="Y103" s="22">
        <v>39903</v>
      </c>
      <c r="Z103" s="15">
        <v>1.7596000000000001</v>
      </c>
    </row>
    <row r="104" spans="1:26" x14ac:dyDescent="0.25">
      <c r="A104" s="22">
        <v>39933</v>
      </c>
      <c r="B104" s="14">
        <v>10625</v>
      </c>
      <c r="D104" s="22">
        <v>39933</v>
      </c>
      <c r="E104" s="15">
        <v>35.274999999999999</v>
      </c>
      <c r="G104" s="22">
        <v>39933</v>
      </c>
      <c r="H104" s="15">
        <v>1.4782</v>
      </c>
      <c r="J104" s="22">
        <v>39933</v>
      </c>
      <c r="K104" s="14">
        <v>17783</v>
      </c>
      <c r="M104" s="22">
        <v>39933</v>
      </c>
      <c r="N104" s="15">
        <v>1.3209</v>
      </c>
      <c r="P104" s="22">
        <v>39933</v>
      </c>
      <c r="Q104" s="15">
        <v>1.1429</v>
      </c>
      <c r="S104" s="22">
        <v>39933</v>
      </c>
      <c r="T104" s="15">
        <v>1.1969000000000001</v>
      </c>
      <c r="V104" s="22">
        <v>39933</v>
      </c>
      <c r="W104" s="15">
        <v>1.3724000000000001</v>
      </c>
      <c r="Y104" s="22">
        <v>39933</v>
      </c>
      <c r="Z104" s="15">
        <v>1.7656000000000001</v>
      </c>
    </row>
    <row r="105" spans="1:26" x14ac:dyDescent="0.25">
      <c r="A105" s="22">
        <v>39962</v>
      </c>
      <c r="B105" s="14">
        <v>10295</v>
      </c>
      <c r="D105" s="22">
        <v>39962</v>
      </c>
      <c r="E105" s="15">
        <v>34.340000000000003</v>
      </c>
      <c r="G105" s="22">
        <v>39962</v>
      </c>
      <c r="H105" s="15">
        <v>1.4457</v>
      </c>
      <c r="J105" s="22">
        <v>39962</v>
      </c>
      <c r="K105" s="14">
        <v>17775</v>
      </c>
      <c r="M105" s="22">
        <v>39962</v>
      </c>
      <c r="N105" s="15">
        <v>1.4157999999999999</v>
      </c>
      <c r="P105" s="22">
        <v>39962</v>
      </c>
      <c r="Q105" s="15">
        <v>1.0669</v>
      </c>
      <c r="S105" s="22">
        <v>39962</v>
      </c>
      <c r="T105" s="15">
        <v>1.0914999999999999</v>
      </c>
      <c r="V105" s="22">
        <v>39962</v>
      </c>
      <c r="W105" s="15">
        <v>1.2504</v>
      </c>
      <c r="Y105" s="22">
        <v>39962</v>
      </c>
      <c r="Z105" s="15">
        <v>1.57</v>
      </c>
    </row>
    <row r="106" spans="1:26" x14ac:dyDescent="0.25">
      <c r="A106" s="22">
        <v>39994</v>
      </c>
      <c r="B106" s="14">
        <v>10208</v>
      </c>
      <c r="D106" s="22">
        <v>39994</v>
      </c>
      <c r="E106" s="15">
        <v>34.07</v>
      </c>
      <c r="G106" s="22">
        <v>39994</v>
      </c>
      <c r="H106" s="15">
        <v>1.4486000000000001</v>
      </c>
      <c r="J106" s="22">
        <v>39994</v>
      </c>
      <c r="K106" s="14">
        <v>17798</v>
      </c>
      <c r="M106" s="22">
        <v>39994</v>
      </c>
      <c r="N106" s="15">
        <v>1.405</v>
      </c>
      <c r="P106" s="22">
        <v>39994</v>
      </c>
      <c r="Q106" s="15">
        <v>1.0849</v>
      </c>
      <c r="S106" s="22">
        <v>39994</v>
      </c>
      <c r="T106" s="15">
        <v>1.1611</v>
      </c>
      <c r="V106" s="22">
        <v>39994</v>
      </c>
      <c r="W106" s="15">
        <v>1.2384999999999999</v>
      </c>
      <c r="Y106" s="22">
        <v>39994</v>
      </c>
      <c r="Z106" s="15">
        <v>1.5485</v>
      </c>
    </row>
    <row r="107" spans="1:26" x14ac:dyDescent="0.25">
      <c r="A107" s="22">
        <v>40025</v>
      </c>
      <c r="B107" s="14">
        <v>9928</v>
      </c>
      <c r="D107" s="22">
        <v>40025</v>
      </c>
      <c r="E107" s="15">
        <v>34.03</v>
      </c>
      <c r="G107" s="22">
        <v>40025</v>
      </c>
      <c r="H107" s="15">
        <v>1.4392</v>
      </c>
      <c r="J107" s="22">
        <v>40025</v>
      </c>
      <c r="K107" s="14">
        <v>17818</v>
      </c>
      <c r="M107" s="22">
        <v>40025</v>
      </c>
      <c r="N107" s="15">
        <v>1.4257</v>
      </c>
      <c r="P107" s="22">
        <v>40025</v>
      </c>
      <c r="Q107" s="15">
        <v>1.0685</v>
      </c>
      <c r="S107" s="22">
        <v>40025</v>
      </c>
      <c r="T107" s="15">
        <v>1.0775999999999999</v>
      </c>
      <c r="V107" s="22">
        <v>40025</v>
      </c>
      <c r="W107" s="15">
        <v>1.1966000000000001</v>
      </c>
      <c r="Y107" s="22">
        <v>40025</v>
      </c>
      <c r="Z107" s="15">
        <v>1.5115000000000001</v>
      </c>
    </row>
    <row r="108" spans="1:26" x14ac:dyDescent="0.25">
      <c r="A108" s="22">
        <v>40056</v>
      </c>
      <c r="B108" s="14">
        <v>10105</v>
      </c>
      <c r="D108" s="22">
        <v>40056</v>
      </c>
      <c r="E108" s="15">
        <v>34.015000000000001</v>
      </c>
      <c r="G108" s="22">
        <v>40056</v>
      </c>
      <c r="H108" s="15">
        <v>1.4410000000000001</v>
      </c>
      <c r="J108" s="22">
        <v>40056</v>
      </c>
      <c r="K108" s="14">
        <v>17817</v>
      </c>
      <c r="M108" s="22">
        <v>40056</v>
      </c>
      <c r="N108" s="15">
        <v>1.4341999999999999</v>
      </c>
      <c r="P108" s="22">
        <v>40056</v>
      </c>
      <c r="Q108" s="15">
        <v>1.0579000000000001</v>
      </c>
      <c r="S108" s="22">
        <v>40056</v>
      </c>
      <c r="T108" s="15">
        <v>1.0980000000000001</v>
      </c>
      <c r="V108" s="22">
        <v>40056</v>
      </c>
      <c r="W108" s="15">
        <v>1.1868000000000001</v>
      </c>
      <c r="Y108" s="22">
        <v>40056</v>
      </c>
      <c r="Z108" s="15">
        <v>1.4603999999999999</v>
      </c>
    </row>
    <row r="109" spans="1:26" x14ac:dyDescent="0.25">
      <c r="A109" s="22">
        <v>40086</v>
      </c>
      <c r="B109" s="14">
        <v>9665</v>
      </c>
      <c r="D109" s="22">
        <v>40086</v>
      </c>
      <c r="E109" s="15">
        <v>33.450000000000003</v>
      </c>
      <c r="G109" s="22">
        <v>40086</v>
      </c>
      <c r="H109" s="15">
        <v>1.4075</v>
      </c>
      <c r="J109" s="22">
        <v>40086</v>
      </c>
      <c r="K109" s="14">
        <v>17841</v>
      </c>
      <c r="M109" s="22">
        <v>40086</v>
      </c>
      <c r="N109" s="15">
        <v>1.4642999999999999</v>
      </c>
      <c r="P109" s="22">
        <v>40086</v>
      </c>
      <c r="Q109" s="15">
        <v>1.0365</v>
      </c>
      <c r="S109" s="22">
        <v>40086</v>
      </c>
      <c r="T109" s="15">
        <v>1.0689</v>
      </c>
      <c r="V109" s="22">
        <v>40086</v>
      </c>
      <c r="W109" s="15">
        <v>1.1315999999999999</v>
      </c>
      <c r="Y109" s="22">
        <v>40086</v>
      </c>
      <c r="Z109" s="15">
        <v>1.3812</v>
      </c>
    </row>
    <row r="110" spans="1:26" x14ac:dyDescent="0.25">
      <c r="A110" s="22">
        <v>40116</v>
      </c>
      <c r="B110" s="14">
        <v>9585</v>
      </c>
      <c r="D110" s="22">
        <v>40116</v>
      </c>
      <c r="E110" s="15">
        <v>33.454999999999998</v>
      </c>
      <c r="G110" s="22">
        <v>40116</v>
      </c>
      <c r="H110" s="15">
        <v>1.4004000000000001</v>
      </c>
      <c r="J110" s="22">
        <v>40116</v>
      </c>
      <c r="K110" s="14">
        <v>17857</v>
      </c>
      <c r="M110" s="22">
        <v>40116</v>
      </c>
      <c r="N110" s="15">
        <v>1.4719</v>
      </c>
      <c r="P110" s="22">
        <v>40116</v>
      </c>
      <c r="Q110" s="15">
        <v>1.0263</v>
      </c>
      <c r="S110" s="22">
        <v>40116</v>
      </c>
      <c r="T110" s="15">
        <v>1.0848</v>
      </c>
      <c r="V110" s="22">
        <v>40116</v>
      </c>
      <c r="W110" s="15">
        <v>1.1115999999999999</v>
      </c>
      <c r="Y110" s="22">
        <v>40116</v>
      </c>
      <c r="Z110" s="15">
        <v>1.3935</v>
      </c>
    </row>
    <row r="111" spans="1:26" x14ac:dyDescent="0.25">
      <c r="A111" s="22">
        <v>40147</v>
      </c>
      <c r="B111" s="14">
        <v>9461</v>
      </c>
      <c r="D111" s="22">
        <v>40147</v>
      </c>
      <c r="E111" s="15">
        <v>33.229999999999997</v>
      </c>
      <c r="G111" s="22">
        <v>40147</v>
      </c>
      <c r="H111" s="15">
        <v>1.385</v>
      </c>
      <c r="J111" s="22">
        <v>40147</v>
      </c>
      <c r="K111" s="14">
        <v>18485</v>
      </c>
      <c r="M111" s="22">
        <v>40147</v>
      </c>
      <c r="N111" s="15">
        <v>1.4976</v>
      </c>
      <c r="P111" s="22">
        <v>40147</v>
      </c>
      <c r="Q111" s="15">
        <v>1.0064</v>
      </c>
      <c r="S111" s="22">
        <v>40147</v>
      </c>
      <c r="T111" s="15">
        <v>1.0571999999999999</v>
      </c>
      <c r="V111" s="22">
        <v>40147</v>
      </c>
      <c r="W111" s="15">
        <v>1.0962000000000001</v>
      </c>
      <c r="Y111" s="22">
        <v>40147</v>
      </c>
      <c r="Z111" s="15">
        <v>1.4034</v>
      </c>
    </row>
    <row r="112" spans="1:26" x14ac:dyDescent="0.25">
      <c r="A112" s="22">
        <v>40178</v>
      </c>
      <c r="B112" s="14">
        <v>9404</v>
      </c>
      <c r="D112" s="22">
        <v>40178</v>
      </c>
      <c r="E112" s="15">
        <v>33.39</v>
      </c>
      <c r="G112" s="22">
        <v>40178</v>
      </c>
      <c r="H112" s="15">
        <v>1.4048</v>
      </c>
      <c r="J112" s="22">
        <v>40178</v>
      </c>
      <c r="K112" s="14">
        <v>18479</v>
      </c>
      <c r="M112" s="22">
        <v>40178</v>
      </c>
      <c r="N112" s="15">
        <v>1.4331</v>
      </c>
      <c r="P112" s="22">
        <v>40178</v>
      </c>
      <c r="Q112" s="15">
        <v>1.0347999999999999</v>
      </c>
      <c r="S112" s="22">
        <v>40178</v>
      </c>
      <c r="T112" s="15">
        <v>1.0458000000000001</v>
      </c>
      <c r="V112" s="22">
        <v>40178</v>
      </c>
      <c r="W112" s="15">
        <v>1.1133999999999999</v>
      </c>
      <c r="Y112" s="22">
        <v>40178</v>
      </c>
      <c r="Z112" s="15">
        <v>1.3773</v>
      </c>
    </row>
    <row r="113" spans="1:26" x14ac:dyDescent="0.25">
      <c r="A113" s="22">
        <v>40207</v>
      </c>
      <c r="B113" s="14">
        <v>9353</v>
      </c>
      <c r="D113" s="22">
        <v>40207</v>
      </c>
      <c r="E113" s="15">
        <v>33.188000000000002</v>
      </c>
      <c r="G113" s="22">
        <v>40207</v>
      </c>
      <c r="H113" s="15">
        <v>1.4073</v>
      </c>
      <c r="J113" s="22">
        <v>40207</v>
      </c>
      <c r="K113" s="14">
        <v>18437</v>
      </c>
      <c r="M113" s="22">
        <v>40207</v>
      </c>
      <c r="N113" s="15">
        <v>1.3863000000000001</v>
      </c>
      <c r="P113" s="22">
        <v>40207</v>
      </c>
      <c r="Q113" s="15">
        <v>1.0606</v>
      </c>
      <c r="S113" s="22">
        <v>40207</v>
      </c>
      <c r="T113" s="15">
        <v>1.0704</v>
      </c>
      <c r="V113" s="22">
        <v>40207</v>
      </c>
      <c r="W113" s="15">
        <v>1.1315999999999999</v>
      </c>
      <c r="Y113" s="22">
        <v>40207</v>
      </c>
      <c r="Z113" s="15">
        <v>1.4266000000000001</v>
      </c>
    </row>
    <row r="114" spans="1:26" x14ac:dyDescent="0.25">
      <c r="A114" s="22">
        <v>40235</v>
      </c>
      <c r="B114" s="14">
        <v>9343</v>
      </c>
      <c r="D114" s="22">
        <v>40235</v>
      </c>
      <c r="E114" s="15">
        <v>33.06</v>
      </c>
      <c r="G114" s="22">
        <v>40235</v>
      </c>
      <c r="H114" s="15">
        <v>1.4064000000000001</v>
      </c>
      <c r="J114" s="22">
        <v>40235</v>
      </c>
      <c r="K114" s="14">
        <v>19025</v>
      </c>
      <c r="M114" s="22">
        <v>40235</v>
      </c>
      <c r="N114" s="15">
        <v>1.3631</v>
      </c>
      <c r="P114" s="22">
        <v>40235</v>
      </c>
      <c r="Q114" s="15">
        <v>1.0734999999999999</v>
      </c>
      <c r="S114" s="22">
        <v>40235</v>
      </c>
      <c r="T114" s="15">
        <v>1.0517000000000001</v>
      </c>
      <c r="V114" s="22">
        <v>40235</v>
      </c>
      <c r="W114" s="15">
        <v>1.1166</v>
      </c>
      <c r="Y114" s="22">
        <v>40235</v>
      </c>
      <c r="Z114" s="15">
        <v>1.4322999999999999</v>
      </c>
    </row>
    <row r="115" spans="1:26" x14ac:dyDescent="0.25">
      <c r="A115" s="22">
        <v>40268</v>
      </c>
      <c r="B115" s="14">
        <v>9100</v>
      </c>
      <c r="D115" s="22">
        <v>40268</v>
      </c>
      <c r="E115" s="15">
        <v>32.335000000000001</v>
      </c>
      <c r="G115" s="22">
        <v>40268</v>
      </c>
      <c r="H115" s="15">
        <v>1.3989</v>
      </c>
      <c r="J115" s="22">
        <v>40268</v>
      </c>
      <c r="K115" s="14">
        <v>19069</v>
      </c>
      <c r="M115" s="22">
        <v>40268</v>
      </c>
      <c r="N115" s="15">
        <v>1.3532999999999999</v>
      </c>
      <c r="P115" s="22">
        <v>40268</v>
      </c>
      <c r="Q115" s="15">
        <v>1.0511999999999999</v>
      </c>
      <c r="S115" s="22">
        <v>40268</v>
      </c>
      <c r="T115" s="15">
        <v>1.0155000000000001</v>
      </c>
      <c r="V115" s="22">
        <v>40268</v>
      </c>
      <c r="W115" s="15">
        <v>1.0894999999999999</v>
      </c>
      <c r="Y115" s="22">
        <v>40268</v>
      </c>
      <c r="Z115" s="15">
        <v>1.4091</v>
      </c>
    </row>
    <row r="116" spans="1:26" x14ac:dyDescent="0.25">
      <c r="A116" s="22">
        <v>40298</v>
      </c>
      <c r="B116" s="14">
        <v>9010</v>
      </c>
      <c r="D116" s="22">
        <v>40298</v>
      </c>
      <c r="E116" s="15">
        <v>32.395000000000003</v>
      </c>
      <c r="G116" s="22">
        <v>40298</v>
      </c>
      <c r="H116" s="15">
        <v>1.3707</v>
      </c>
      <c r="J116" s="22">
        <v>40298</v>
      </c>
      <c r="K116" s="14">
        <v>18958</v>
      </c>
      <c r="M116" s="22">
        <v>40298</v>
      </c>
      <c r="N116" s="15">
        <v>1.3293999999999999</v>
      </c>
      <c r="P116" s="22">
        <v>40298</v>
      </c>
      <c r="Q116" s="15">
        <v>1.0775999999999999</v>
      </c>
      <c r="S116" s="22">
        <v>40298</v>
      </c>
      <c r="T116" s="15">
        <v>1.0179</v>
      </c>
      <c r="V116" s="22">
        <v>40298</v>
      </c>
      <c r="W116" s="15">
        <v>1.0780000000000001</v>
      </c>
      <c r="Y116" s="22">
        <v>40298</v>
      </c>
      <c r="Z116" s="15">
        <v>1.3762000000000001</v>
      </c>
    </row>
    <row r="117" spans="1:26" x14ac:dyDescent="0.25">
      <c r="A117" s="22">
        <v>40329</v>
      </c>
      <c r="B117" s="14">
        <v>9175</v>
      </c>
      <c r="D117" s="22">
        <v>40329</v>
      </c>
      <c r="E117" s="15">
        <v>32.51</v>
      </c>
      <c r="G117" s="22">
        <v>40329</v>
      </c>
      <c r="H117" s="15">
        <v>1.4001999999999999</v>
      </c>
      <c r="J117" s="22">
        <v>40329</v>
      </c>
      <c r="K117" s="14">
        <v>18980</v>
      </c>
      <c r="M117" s="22">
        <v>40329</v>
      </c>
      <c r="N117" s="15">
        <v>1.2295</v>
      </c>
      <c r="P117" s="22">
        <v>40329</v>
      </c>
      <c r="Q117" s="15">
        <v>1.1558999999999999</v>
      </c>
      <c r="S117" s="22">
        <v>40329</v>
      </c>
      <c r="T117" s="15">
        <v>1.0479000000000001</v>
      </c>
      <c r="V117" s="22">
        <v>40329</v>
      </c>
      <c r="W117" s="15">
        <v>1.1860999999999999</v>
      </c>
      <c r="Y117" s="22">
        <v>40329</v>
      </c>
      <c r="Z117" s="15">
        <v>1.4758</v>
      </c>
    </row>
    <row r="118" spans="1:26" x14ac:dyDescent="0.25">
      <c r="A118" s="22">
        <v>40359</v>
      </c>
      <c r="B118" s="14">
        <v>9074</v>
      </c>
      <c r="D118" s="22">
        <v>40359</v>
      </c>
      <c r="E118" s="15">
        <v>32.42</v>
      </c>
      <c r="G118" s="22">
        <v>40359</v>
      </c>
      <c r="H118" s="15">
        <v>1.3974</v>
      </c>
      <c r="J118" s="22">
        <v>40359</v>
      </c>
      <c r="K118" s="14">
        <v>19070</v>
      </c>
      <c r="M118" s="22">
        <v>40359</v>
      </c>
      <c r="N118" s="15">
        <v>1.2257</v>
      </c>
      <c r="P118" s="22">
        <v>40359</v>
      </c>
      <c r="Q118" s="15">
        <v>1.0777000000000001</v>
      </c>
      <c r="S118" s="22">
        <v>40359</v>
      </c>
      <c r="T118" s="15">
        <v>1.0620000000000001</v>
      </c>
      <c r="V118" s="22">
        <v>40359</v>
      </c>
      <c r="W118" s="15">
        <v>1.1811</v>
      </c>
      <c r="Y118" s="22">
        <v>40359</v>
      </c>
      <c r="Z118" s="15">
        <v>1.4510000000000001</v>
      </c>
    </row>
    <row r="119" spans="1:26" x14ac:dyDescent="0.25">
      <c r="A119" s="22">
        <v>40389</v>
      </c>
      <c r="B119" s="14">
        <v>8949</v>
      </c>
      <c r="D119" s="22">
        <v>40389</v>
      </c>
      <c r="E119" s="15">
        <v>32.24</v>
      </c>
      <c r="G119" s="22">
        <v>40389</v>
      </c>
      <c r="H119" s="15">
        <v>1.3603000000000001</v>
      </c>
      <c r="J119" s="22">
        <v>40389</v>
      </c>
      <c r="K119" s="14">
        <v>19080</v>
      </c>
      <c r="M119" s="22">
        <v>40389</v>
      </c>
      <c r="N119" s="15">
        <v>1.3051999999999999</v>
      </c>
      <c r="P119" s="22">
        <v>40389</v>
      </c>
      <c r="Q119" s="15">
        <v>1.0411999999999999</v>
      </c>
      <c r="S119" s="22">
        <v>40389</v>
      </c>
      <c r="T119" s="15">
        <v>1.0297000000000001</v>
      </c>
      <c r="V119" s="22">
        <v>40389</v>
      </c>
      <c r="W119" s="15">
        <v>1.1060000000000001</v>
      </c>
      <c r="Y119" s="22">
        <v>40389</v>
      </c>
      <c r="Z119" s="15">
        <v>1.3774</v>
      </c>
    </row>
    <row r="120" spans="1:26" x14ac:dyDescent="0.25">
      <c r="A120" s="22">
        <v>40421</v>
      </c>
      <c r="B120" s="14">
        <v>9045</v>
      </c>
      <c r="D120" s="22">
        <v>40421</v>
      </c>
      <c r="E120" s="15">
        <v>31.27</v>
      </c>
      <c r="G120" s="22">
        <v>40421</v>
      </c>
      <c r="H120" s="15">
        <v>1.3544</v>
      </c>
      <c r="J120" s="22">
        <v>40421</v>
      </c>
      <c r="K120" s="14">
        <v>19490</v>
      </c>
      <c r="M120" s="22">
        <v>40421</v>
      </c>
      <c r="N120" s="15">
        <v>1.2688999999999999</v>
      </c>
      <c r="P120" s="22">
        <v>40421</v>
      </c>
      <c r="Q120" s="15">
        <v>1.0165999999999999</v>
      </c>
      <c r="S120" s="22">
        <v>40421</v>
      </c>
      <c r="T120" s="15">
        <v>1.0666</v>
      </c>
      <c r="V120" s="22">
        <v>40421</v>
      </c>
      <c r="W120" s="15">
        <v>1.1238999999999999</v>
      </c>
      <c r="Y120" s="22">
        <v>40421</v>
      </c>
      <c r="Z120" s="15">
        <v>1.4354</v>
      </c>
    </row>
    <row r="121" spans="1:26" x14ac:dyDescent="0.25">
      <c r="A121" s="22">
        <v>40451</v>
      </c>
      <c r="B121" s="14">
        <v>8908</v>
      </c>
      <c r="D121" s="22">
        <v>40451</v>
      </c>
      <c r="E121" s="15">
        <v>30.344999999999999</v>
      </c>
      <c r="G121" s="22">
        <v>40451</v>
      </c>
      <c r="H121" s="15">
        <v>1.3167</v>
      </c>
      <c r="J121" s="22">
        <v>40451</v>
      </c>
      <c r="K121" s="14">
        <v>19490</v>
      </c>
      <c r="M121" s="22">
        <v>40451</v>
      </c>
      <c r="N121" s="15">
        <v>1.3621000000000001</v>
      </c>
      <c r="P121" s="22">
        <v>40451</v>
      </c>
      <c r="Q121" s="15">
        <v>0.98089999999999999</v>
      </c>
      <c r="S121" s="22">
        <v>40451</v>
      </c>
      <c r="T121" s="15">
        <v>1.0291999999999999</v>
      </c>
      <c r="V121" s="22">
        <v>40451</v>
      </c>
      <c r="W121" s="15">
        <v>1.0356000000000001</v>
      </c>
      <c r="Y121" s="22">
        <v>40451</v>
      </c>
      <c r="Z121" s="15">
        <v>1.3627</v>
      </c>
    </row>
    <row r="122" spans="1:26" x14ac:dyDescent="0.25">
      <c r="A122" s="22">
        <v>40480</v>
      </c>
      <c r="B122" s="14">
        <v>8938</v>
      </c>
      <c r="D122" s="22">
        <v>40480</v>
      </c>
      <c r="E122" s="15">
        <v>29.94</v>
      </c>
      <c r="G122" s="22">
        <v>40480</v>
      </c>
      <c r="H122" s="15">
        <v>1.2936000000000001</v>
      </c>
      <c r="J122" s="22">
        <v>40480</v>
      </c>
      <c r="K122" s="14">
        <v>19498</v>
      </c>
      <c r="M122" s="22">
        <v>40480</v>
      </c>
      <c r="N122" s="15">
        <v>1.3947000000000001</v>
      </c>
      <c r="P122" s="22">
        <v>40480</v>
      </c>
      <c r="Q122" s="15">
        <v>0.98240000000000005</v>
      </c>
      <c r="S122" s="22">
        <v>40480</v>
      </c>
      <c r="T122" s="15">
        <v>1.0194000000000001</v>
      </c>
      <c r="V122" s="22">
        <v>40480</v>
      </c>
      <c r="W122" s="15">
        <v>1.0166999999999999</v>
      </c>
      <c r="Y122" s="22">
        <v>40480</v>
      </c>
      <c r="Z122" s="15">
        <v>1.3047</v>
      </c>
    </row>
    <row r="123" spans="1:26" x14ac:dyDescent="0.25">
      <c r="A123" s="22">
        <v>40512</v>
      </c>
      <c r="B123" s="14">
        <v>9041</v>
      </c>
      <c r="D123" s="22">
        <v>40512</v>
      </c>
      <c r="E123" s="15">
        <v>30.21</v>
      </c>
      <c r="G123" s="22">
        <v>40512</v>
      </c>
      <c r="H123" s="15">
        <v>1.3204</v>
      </c>
      <c r="J123" s="22">
        <v>40512</v>
      </c>
      <c r="K123" s="14">
        <v>19498</v>
      </c>
      <c r="M123" s="22">
        <v>40512</v>
      </c>
      <c r="N123" s="15">
        <v>1.3038000000000001</v>
      </c>
      <c r="P123" s="22">
        <v>40512</v>
      </c>
      <c r="Q123" s="15">
        <v>1.0015000000000001</v>
      </c>
      <c r="S123" s="22">
        <v>40512</v>
      </c>
      <c r="T123" s="15">
        <v>1.0261</v>
      </c>
      <c r="V123" s="22">
        <v>40512</v>
      </c>
      <c r="W123" s="15">
        <v>1.0411999999999999</v>
      </c>
      <c r="Y123" s="22">
        <v>40512</v>
      </c>
      <c r="Z123" s="15">
        <v>1.3431999999999999</v>
      </c>
    </row>
    <row r="124" spans="1:26" x14ac:dyDescent="0.25">
      <c r="A124" s="22">
        <v>40543</v>
      </c>
      <c r="B124" s="14">
        <v>8996</v>
      </c>
      <c r="D124" s="22">
        <v>40543</v>
      </c>
      <c r="E124" s="15">
        <v>30.06</v>
      </c>
      <c r="G124" s="22">
        <v>40543</v>
      </c>
      <c r="H124" s="15">
        <v>1.2834000000000001</v>
      </c>
      <c r="J124" s="22">
        <v>40543</v>
      </c>
      <c r="K124" s="14">
        <v>19498</v>
      </c>
      <c r="M124" s="22">
        <v>40543</v>
      </c>
      <c r="N124" s="15">
        <v>1.3384</v>
      </c>
      <c r="P124" s="22">
        <v>40543</v>
      </c>
      <c r="Q124" s="15">
        <v>0.93520000000000003</v>
      </c>
      <c r="S124" s="22">
        <v>40543</v>
      </c>
      <c r="T124" s="15">
        <v>0.998</v>
      </c>
      <c r="V124" s="22">
        <v>40543</v>
      </c>
      <c r="W124" s="15">
        <v>0.97719999999999996</v>
      </c>
      <c r="Y124" s="22">
        <v>40543</v>
      </c>
      <c r="Z124" s="15">
        <v>1.2817000000000001</v>
      </c>
    </row>
    <row r="125" spans="1:26" x14ac:dyDescent="0.25">
      <c r="A125" s="22">
        <v>40574</v>
      </c>
      <c r="B125" s="14">
        <v>9049</v>
      </c>
      <c r="D125" s="22">
        <v>40574</v>
      </c>
      <c r="E125" s="15">
        <v>30.875</v>
      </c>
      <c r="G125" s="22">
        <v>40574</v>
      </c>
      <c r="H125" s="15">
        <v>1.2793000000000001</v>
      </c>
      <c r="J125" s="22">
        <v>40574</v>
      </c>
      <c r="K125" s="14">
        <v>19498</v>
      </c>
      <c r="M125" s="22">
        <v>40574</v>
      </c>
      <c r="N125" s="15">
        <v>1.3697999999999999</v>
      </c>
      <c r="P125" s="22">
        <v>40574</v>
      </c>
      <c r="Q125" s="15">
        <v>0.94079999999999997</v>
      </c>
      <c r="S125" s="22">
        <v>40574</v>
      </c>
      <c r="T125" s="15">
        <v>1.0019</v>
      </c>
      <c r="V125" s="22">
        <v>40574</v>
      </c>
      <c r="W125" s="15">
        <v>1.0018</v>
      </c>
      <c r="Y125" s="22">
        <v>40574</v>
      </c>
      <c r="Z125" s="15">
        <v>1.2939000000000001</v>
      </c>
    </row>
    <row r="126" spans="1:26" x14ac:dyDescent="0.25">
      <c r="A126" s="22">
        <v>40602</v>
      </c>
      <c r="B126" s="14">
        <v>8821</v>
      </c>
      <c r="D126" s="22">
        <v>40602</v>
      </c>
      <c r="E126" s="15">
        <v>30.594999999999999</v>
      </c>
      <c r="G126" s="22">
        <v>40602</v>
      </c>
      <c r="H126" s="15">
        <v>1.2714000000000001</v>
      </c>
      <c r="J126" s="22">
        <v>40602</v>
      </c>
      <c r="K126" s="14">
        <v>20878</v>
      </c>
      <c r="M126" s="22">
        <v>40602</v>
      </c>
      <c r="N126" s="15">
        <v>1.3792</v>
      </c>
      <c r="P126" s="22">
        <v>40602</v>
      </c>
      <c r="Q126" s="15">
        <v>0.92959999999999998</v>
      </c>
      <c r="S126" s="22">
        <v>40602</v>
      </c>
      <c r="T126" s="15">
        <v>0.97319999999999995</v>
      </c>
      <c r="V126" s="22">
        <v>40602</v>
      </c>
      <c r="W126" s="15">
        <v>0.98250000000000004</v>
      </c>
      <c r="Y126" s="22">
        <v>40602</v>
      </c>
      <c r="Z126" s="15">
        <v>1.3303</v>
      </c>
    </row>
    <row r="127" spans="1:26" x14ac:dyDescent="0.25">
      <c r="A127" s="22">
        <v>40633</v>
      </c>
      <c r="B127" s="14">
        <v>8708</v>
      </c>
      <c r="D127" s="22">
        <v>40633</v>
      </c>
      <c r="E127" s="15">
        <v>30.254999999999999</v>
      </c>
      <c r="G127" s="22">
        <v>40633</v>
      </c>
      <c r="H127" s="15">
        <v>1.2602</v>
      </c>
      <c r="J127" s="22">
        <v>40633</v>
      </c>
      <c r="K127" s="14">
        <v>20895</v>
      </c>
      <c r="M127" s="22">
        <v>40633</v>
      </c>
      <c r="N127" s="15">
        <v>1.419</v>
      </c>
      <c r="P127" s="22">
        <v>40633</v>
      </c>
      <c r="Q127" s="15">
        <v>0.91579999999999995</v>
      </c>
      <c r="S127" s="22">
        <v>40633</v>
      </c>
      <c r="T127" s="15">
        <v>0.9698</v>
      </c>
      <c r="V127" s="22">
        <v>40633</v>
      </c>
      <c r="W127" s="15">
        <v>0.96540000000000004</v>
      </c>
      <c r="Y127" s="22">
        <v>40633</v>
      </c>
      <c r="Z127" s="15">
        <v>1.3089</v>
      </c>
    </row>
    <row r="128" spans="1:26" x14ac:dyDescent="0.25">
      <c r="A128" s="22">
        <v>40662</v>
      </c>
      <c r="B128" s="14">
        <v>8563</v>
      </c>
      <c r="D128" s="22">
        <v>40662</v>
      </c>
      <c r="E128" s="15">
        <v>29.88</v>
      </c>
      <c r="G128" s="22">
        <v>40662</v>
      </c>
      <c r="H128" s="15">
        <v>1.2243999999999999</v>
      </c>
      <c r="J128" s="22">
        <v>40662</v>
      </c>
      <c r="K128" s="14">
        <v>20645</v>
      </c>
      <c r="M128" s="22">
        <v>40662</v>
      </c>
      <c r="N128" s="15">
        <v>1.4806999999999999</v>
      </c>
      <c r="P128" s="22">
        <v>40662</v>
      </c>
      <c r="Q128" s="15">
        <v>0.86529999999999996</v>
      </c>
      <c r="S128" s="22">
        <v>40662</v>
      </c>
      <c r="T128" s="15">
        <v>0.94510000000000005</v>
      </c>
      <c r="V128" s="22">
        <v>40662</v>
      </c>
      <c r="W128" s="15">
        <v>0.91149999999999998</v>
      </c>
      <c r="Y128" s="22">
        <v>40662</v>
      </c>
      <c r="Z128" s="15">
        <v>1.2346999999999999</v>
      </c>
    </row>
    <row r="129" spans="1:26" x14ac:dyDescent="0.25">
      <c r="A129" s="22">
        <v>40694</v>
      </c>
      <c r="B129" s="14">
        <v>8543</v>
      </c>
      <c r="D129" s="22">
        <v>40694</v>
      </c>
      <c r="E129" s="15">
        <v>30.315000000000001</v>
      </c>
      <c r="G129" s="22">
        <v>40694</v>
      </c>
      <c r="H129" s="15">
        <v>1.2346999999999999</v>
      </c>
      <c r="J129" s="22">
        <v>40694</v>
      </c>
      <c r="K129" s="14">
        <v>20545</v>
      </c>
      <c r="M129" s="22">
        <v>40694</v>
      </c>
      <c r="N129" s="15">
        <v>1.4369000000000001</v>
      </c>
      <c r="P129" s="22">
        <v>40694</v>
      </c>
      <c r="Q129" s="15">
        <v>0.85340000000000005</v>
      </c>
      <c r="S129" s="22">
        <v>40694</v>
      </c>
      <c r="T129" s="15">
        <v>0.96860000000000002</v>
      </c>
      <c r="V129" s="22">
        <v>40694</v>
      </c>
      <c r="W129" s="15">
        <v>0.93869999999999998</v>
      </c>
      <c r="Y129" s="22">
        <v>40694</v>
      </c>
      <c r="Z129" s="15">
        <v>1.2159</v>
      </c>
    </row>
    <row r="130" spans="1:26" x14ac:dyDescent="0.25">
      <c r="A130" s="22">
        <v>40724</v>
      </c>
      <c r="B130" s="14">
        <v>8579</v>
      </c>
      <c r="D130" s="22">
        <v>40724</v>
      </c>
      <c r="E130" s="15">
        <v>30.7</v>
      </c>
      <c r="G130" s="22">
        <v>40724</v>
      </c>
      <c r="H130" s="15">
        <v>1.2283999999999999</v>
      </c>
      <c r="J130" s="22">
        <v>40724</v>
      </c>
      <c r="K130" s="14">
        <v>20585</v>
      </c>
      <c r="M130" s="22">
        <v>40724</v>
      </c>
      <c r="N130" s="15">
        <v>1.4513</v>
      </c>
      <c r="P130" s="22">
        <v>40724</v>
      </c>
      <c r="Q130" s="15">
        <v>0.84189999999999998</v>
      </c>
      <c r="S130" s="22">
        <v>40724</v>
      </c>
      <c r="T130" s="15">
        <v>0.96409999999999996</v>
      </c>
      <c r="V130" s="22">
        <v>40724</v>
      </c>
      <c r="W130" s="15">
        <v>0.93369999999999997</v>
      </c>
      <c r="Y130" s="22">
        <v>40724</v>
      </c>
      <c r="Z130" s="15">
        <v>1.2105999999999999</v>
      </c>
    </row>
    <row r="131" spans="1:26" x14ac:dyDescent="0.25">
      <c r="A131" s="22">
        <v>40753</v>
      </c>
      <c r="B131" s="14">
        <v>8504</v>
      </c>
      <c r="D131" s="22">
        <v>40753</v>
      </c>
      <c r="E131" s="15">
        <v>29.754999999999999</v>
      </c>
      <c r="G131" s="22">
        <v>40753</v>
      </c>
      <c r="H131" s="15">
        <v>1.2039</v>
      </c>
      <c r="J131" s="22">
        <v>40753</v>
      </c>
      <c r="K131" s="14">
        <v>20595</v>
      </c>
      <c r="M131" s="22">
        <v>40753</v>
      </c>
      <c r="N131" s="15">
        <v>1.4399</v>
      </c>
      <c r="P131" s="22">
        <v>40753</v>
      </c>
      <c r="Q131" s="15">
        <v>0.78559999999999997</v>
      </c>
      <c r="S131" s="22">
        <v>40753</v>
      </c>
      <c r="T131" s="15">
        <v>0.95520000000000005</v>
      </c>
      <c r="V131" s="22">
        <v>40753</v>
      </c>
      <c r="W131" s="15">
        <v>0.90959999999999996</v>
      </c>
      <c r="Y131" s="22">
        <v>40753</v>
      </c>
      <c r="Z131" s="15">
        <v>1.1372</v>
      </c>
    </row>
    <row r="132" spans="1:26" x14ac:dyDescent="0.25">
      <c r="A132" s="22">
        <v>40786</v>
      </c>
      <c r="B132" s="14">
        <v>8534</v>
      </c>
      <c r="D132" s="22">
        <v>40786</v>
      </c>
      <c r="E132" s="15">
        <v>29.94</v>
      </c>
      <c r="G132" s="22">
        <v>40786</v>
      </c>
      <c r="H132" s="15">
        <v>1.2033</v>
      </c>
      <c r="J132" s="22">
        <v>40786</v>
      </c>
      <c r="K132" s="14">
        <v>20832</v>
      </c>
      <c r="M132" s="22">
        <v>40786</v>
      </c>
      <c r="N132" s="15">
        <v>1.4410000000000001</v>
      </c>
      <c r="P132" s="22">
        <v>40786</v>
      </c>
      <c r="Q132" s="15">
        <v>0.80410000000000004</v>
      </c>
      <c r="S132" s="22">
        <v>40786</v>
      </c>
      <c r="T132" s="15">
        <v>0.97699999999999998</v>
      </c>
      <c r="V132" s="22">
        <v>40786</v>
      </c>
      <c r="W132" s="15">
        <v>0.93359999999999999</v>
      </c>
      <c r="Y132" s="22">
        <v>40786</v>
      </c>
      <c r="Z132" s="15">
        <v>1.169</v>
      </c>
    </row>
    <row r="133" spans="1:26" x14ac:dyDescent="0.25">
      <c r="A133" s="22">
        <v>40816</v>
      </c>
      <c r="B133" s="14">
        <v>8875</v>
      </c>
      <c r="D133" s="22">
        <v>40816</v>
      </c>
      <c r="E133" s="15">
        <v>31.195</v>
      </c>
      <c r="G133" s="22">
        <v>40816</v>
      </c>
      <c r="H133" s="15">
        <v>1.3072999999999999</v>
      </c>
      <c r="J133" s="22">
        <v>40816</v>
      </c>
      <c r="K133" s="14">
        <v>20830</v>
      </c>
      <c r="M133" s="22">
        <v>40816</v>
      </c>
      <c r="N133" s="15">
        <v>1.3387</v>
      </c>
      <c r="P133" s="22">
        <v>40816</v>
      </c>
      <c r="Q133" s="15">
        <v>0.90820000000000001</v>
      </c>
      <c r="S133" s="22">
        <v>40816</v>
      </c>
      <c r="T133" s="15">
        <v>1.0503</v>
      </c>
      <c r="V133" s="22">
        <v>40816</v>
      </c>
      <c r="W133" s="15">
        <v>1.0349999999999999</v>
      </c>
      <c r="Y133" s="22">
        <v>40816</v>
      </c>
      <c r="Z133" s="15">
        <v>1.3133999999999999</v>
      </c>
    </row>
    <row r="134" spans="1:26" x14ac:dyDescent="0.25">
      <c r="A134" s="22">
        <v>40847</v>
      </c>
      <c r="B134" s="14">
        <v>8853</v>
      </c>
      <c r="D134" s="22">
        <v>40847</v>
      </c>
      <c r="E134" s="15">
        <v>30.7</v>
      </c>
      <c r="G134" s="22">
        <v>40847</v>
      </c>
      <c r="H134" s="15">
        <v>1.2524</v>
      </c>
      <c r="J134" s="22">
        <v>40847</v>
      </c>
      <c r="K134" s="14">
        <v>21009</v>
      </c>
      <c r="M134" s="22">
        <v>40847</v>
      </c>
      <c r="N134" s="15">
        <v>1.3946000000000001</v>
      </c>
      <c r="P134" s="22">
        <v>40847</v>
      </c>
      <c r="Q134" s="15">
        <v>0.87209999999999999</v>
      </c>
      <c r="S134" s="22">
        <v>40847</v>
      </c>
      <c r="T134" s="15">
        <v>0.99509999999999998</v>
      </c>
      <c r="V134" s="22">
        <v>40847</v>
      </c>
      <c r="W134" s="15">
        <v>0.94340000000000002</v>
      </c>
      <c r="Y134" s="22">
        <v>40847</v>
      </c>
      <c r="Z134" s="15">
        <v>1.2306999999999999</v>
      </c>
    </row>
    <row r="135" spans="1:26" x14ac:dyDescent="0.25">
      <c r="A135" s="22">
        <v>40877</v>
      </c>
      <c r="B135" s="14">
        <v>9113</v>
      </c>
      <c r="D135" s="22">
        <v>40877</v>
      </c>
      <c r="E135" s="15">
        <v>30.875</v>
      </c>
      <c r="G135" s="22">
        <v>40877</v>
      </c>
      <c r="H135" s="15">
        <v>1.2822</v>
      </c>
      <c r="J135" s="22">
        <v>40877</v>
      </c>
      <c r="K135" s="14">
        <v>21006</v>
      </c>
      <c r="M135" s="22">
        <v>40877</v>
      </c>
      <c r="N135" s="15">
        <v>1.3448</v>
      </c>
      <c r="P135" s="22">
        <v>40877</v>
      </c>
      <c r="Q135" s="15">
        <v>0.91139999999999999</v>
      </c>
      <c r="S135" s="22">
        <v>40877</v>
      </c>
      <c r="T135" s="15">
        <v>1.0185999999999999</v>
      </c>
      <c r="V135" s="22">
        <v>40877</v>
      </c>
      <c r="W135" s="15">
        <v>0.97529999999999994</v>
      </c>
      <c r="Y135" s="22">
        <v>40877</v>
      </c>
      <c r="Z135" s="15">
        <v>1.2850999999999999</v>
      </c>
    </row>
    <row r="136" spans="1:26" x14ac:dyDescent="0.25">
      <c r="A136" s="22">
        <v>40907</v>
      </c>
      <c r="B136" s="14">
        <v>9069</v>
      </c>
      <c r="D136" s="22">
        <v>40907</v>
      </c>
      <c r="E136" s="15">
        <v>31.55</v>
      </c>
      <c r="G136" s="22">
        <v>40907</v>
      </c>
      <c r="H136" s="15">
        <v>1.2966</v>
      </c>
      <c r="J136" s="22">
        <v>40907</v>
      </c>
      <c r="K136" s="14">
        <v>21034</v>
      </c>
      <c r="M136" s="22">
        <v>40907</v>
      </c>
      <c r="N136" s="15">
        <v>1.2961</v>
      </c>
      <c r="P136" s="22">
        <v>40907</v>
      </c>
      <c r="Q136" s="15">
        <v>0.93810000000000004</v>
      </c>
      <c r="S136" s="22">
        <v>40907</v>
      </c>
      <c r="T136" s="15">
        <v>1.0213000000000001</v>
      </c>
      <c r="V136" s="22">
        <v>40907</v>
      </c>
      <c r="W136" s="15">
        <v>0.97960000000000003</v>
      </c>
      <c r="Y136" s="22">
        <v>40907</v>
      </c>
      <c r="Z136" s="15">
        <v>1.2866</v>
      </c>
    </row>
    <row r="137" spans="1:26" x14ac:dyDescent="0.25">
      <c r="A137" s="22">
        <v>40939</v>
      </c>
      <c r="B137" s="14">
        <v>8998</v>
      </c>
      <c r="D137" s="22">
        <v>40939</v>
      </c>
      <c r="E137" s="15">
        <v>30.91</v>
      </c>
      <c r="G137" s="22">
        <v>40939</v>
      </c>
      <c r="H137" s="15">
        <v>1.2574000000000001</v>
      </c>
      <c r="J137" s="22">
        <v>40939</v>
      </c>
      <c r="K137" s="14">
        <v>21005</v>
      </c>
      <c r="M137" s="22">
        <v>40939</v>
      </c>
      <c r="N137" s="15">
        <v>1.3070999999999999</v>
      </c>
      <c r="P137" s="22">
        <v>40939</v>
      </c>
      <c r="Q137" s="15">
        <v>0.92110000000000003</v>
      </c>
      <c r="S137" s="22">
        <v>40939</v>
      </c>
      <c r="T137" s="15">
        <v>1.0042</v>
      </c>
      <c r="V137" s="22">
        <v>40939</v>
      </c>
      <c r="W137" s="15">
        <v>0.94320000000000004</v>
      </c>
      <c r="Y137" s="22">
        <v>40939</v>
      </c>
      <c r="Z137" s="15">
        <v>1.2108000000000001</v>
      </c>
    </row>
    <row r="138" spans="1:26" x14ac:dyDescent="0.25">
      <c r="A138" s="22">
        <v>40968</v>
      </c>
      <c r="B138" s="14">
        <v>9023</v>
      </c>
      <c r="D138" s="22">
        <v>40968</v>
      </c>
      <c r="E138" s="15">
        <v>30.46</v>
      </c>
      <c r="G138" s="22">
        <v>40968</v>
      </c>
      <c r="H138" s="15">
        <v>1.2476</v>
      </c>
      <c r="J138" s="22">
        <v>40968</v>
      </c>
      <c r="K138" s="14">
        <v>20825</v>
      </c>
      <c r="M138" s="22">
        <v>40968</v>
      </c>
      <c r="N138" s="15">
        <v>1.3357000000000001</v>
      </c>
      <c r="P138" s="22">
        <v>40968</v>
      </c>
      <c r="Q138" s="15">
        <v>0.90249999999999997</v>
      </c>
      <c r="S138" s="22">
        <v>40968</v>
      </c>
      <c r="T138" s="15">
        <v>0.98660000000000003</v>
      </c>
      <c r="V138" s="22">
        <v>40968</v>
      </c>
      <c r="W138" s="15">
        <v>0.92810000000000004</v>
      </c>
      <c r="Y138" s="22">
        <v>40968</v>
      </c>
      <c r="Z138" s="15">
        <v>1.1913</v>
      </c>
    </row>
    <row r="139" spans="1:26" x14ac:dyDescent="0.25">
      <c r="A139" s="22">
        <v>40998</v>
      </c>
      <c r="B139" s="14">
        <v>9146</v>
      </c>
      <c r="D139" s="22">
        <v>40998</v>
      </c>
      <c r="E139" s="15">
        <v>30.824999999999999</v>
      </c>
      <c r="G139" s="22">
        <v>40998</v>
      </c>
      <c r="H139" s="15">
        <v>1.2577</v>
      </c>
      <c r="J139" s="22">
        <v>40998</v>
      </c>
      <c r="K139" s="14">
        <v>20850</v>
      </c>
      <c r="M139" s="22">
        <v>40998</v>
      </c>
      <c r="N139" s="15">
        <v>1.3343</v>
      </c>
      <c r="P139" s="22">
        <v>40998</v>
      </c>
      <c r="Q139" s="15">
        <v>0.90249999999999997</v>
      </c>
      <c r="S139" s="22">
        <v>40998</v>
      </c>
      <c r="T139" s="15">
        <v>0.99870000000000003</v>
      </c>
      <c r="V139" s="22">
        <v>40998</v>
      </c>
      <c r="W139" s="15">
        <v>0.96660000000000001</v>
      </c>
      <c r="Y139" s="22">
        <v>40998</v>
      </c>
      <c r="Z139" s="15">
        <v>1.2219</v>
      </c>
    </row>
    <row r="140" spans="1:26" x14ac:dyDescent="0.25">
      <c r="A140" s="22">
        <v>41029</v>
      </c>
      <c r="B140" s="14">
        <v>9177</v>
      </c>
      <c r="D140" s="22">
        <v>41029</v>
      </c>
      <c r="E140" s="15">
        <v>30.74</v>
      </c>
      <c r="G140" s="22">
        <v>41029</v>
      </c>
      <c r="H140" s="15">
        <v>1.2372000000000001</v>
      </c>
      <c r="J140" s="22">
        <v>41029</v>
      </c>
      <c r="K140" s="14">
        <v>20865</v>
      </c>
      <c r="M140" s="22">
        <v>41029</v>
      </c>
      <c r="N140" s="15">
        <v>1.3229</v>
      </c>
      <c r="P140" s="22">
        <v>41029</v>
      </c>
      <c r="Q140" s="15">
        <v>0.90820000000000001</v>
      </c>
      <c r="S140" s="22">
        <v>41029</v>
      </c>
      <c r="T140" s="15">
        <v>0.98760000000000003</v>
      </c>
      <c r="V140" s="22">
        <v>41029</v>
      </c>
      <c r="W140" s="15">
        <v>0.95960000000000001</v>
      </c>
      <c r="Y140" s="22">
        <v>41029</v>
      </c>
      <c r="Z140" s="15">
        <v>1.2230000000000001</v>
      </c>
    </row>
    <row r="141" spans="1:26" x14ac:dyDescent="0.25">
      <c r="A141" s="22">
        <v>41060</v>
      </c>
      <c r="B141" s="14">
        <v>9480</v>
      </c>
      <c r="D141" s="22">
        <v>41060</v>
      </c>
      <c r="E141" s="15">
        <v>31.818000000000001</v>
      </c>
      <c r="G141" s="22">
        <v>41060</v>
      </c>
      <c r="H141" s="15">
        <v>1.2877000000000001</v>
      </c>
      <c r="J141" s="22">
        <v>41060</v>
      </c>
      <c r="K141" s="14">
        <v>20870</v>
      </c>
      <c r="M141" s="22">
        <v>41060</v>
      </c>
      <c r="N141" s="15">
        <v>1.2363</v>
      </c>
      <c r="P141" s="22">
        <v>41060</v>
      </c>
      <c r="Q141" s="15">
        <v>0.97150000000000003</v>
      </c>
      <c r="S141" s="22">
        <v>41060</v>
      </c>
      <c r="T141" s="15">
        <v>1.0329999999999999</v>
      </c>
      <c r="V141" s="22">
        <v>41060</v>
      </c>
      <c r="W141" s="15">
        <v>1.0273000000000001</v>
      </c>
      <c r="Y141" s="22">
        <v>41060</v>
      </c>
      <c r="Z141" s="15">
        <v>1.3259000000000001</v>
      </c>
    </row>
    <row r="142" spans="1:26" x14ac:dyDescent="0.25">
      <c r="A142" s="22">
        <v>41089</v>
      </c>
      <c r="B142" s="14">
        <v>9433</v>
      </c>
      <c r="D142" s="22">
        <v>41089</v>
      </c>
      <c r="E142" s="15">
        <v>31.56</v>
      </c>
      <c r="G142" s="22">
        <v>41089</v>
      </c>
      <c r="H142" s="15">
        <v>1.2650999999999999</v>
      </c>
      <c r="J142" s="22">
        <v>41089</v>
      </c>
      <c r="K142" s="14">
        <v>20905</v>
      </c>
      <c r="M142" s="22">
        <v>41089</v>
      </c>
      <c r="N142" s="15">
        <v>1.2666999999999999</v>
      </c>
      <c r="P142" s="22">
        <v>41089</v>
      </c>
      <c r="Q142" s="15">
        <v>0.9486</v>
      </c>
      <c r="S142" s="22">
        <v>41089</v>
      </c>
      <c r="T142" s="15">
        <v>1.0165999999999999</v>
      </c>
      <c r="V142" s="22">
        <v>41089</v>
      </c>
      <c r="W142" s="15">
        <v>0.9768</v>
      </c>
      <c r="Y142" s="22">
        <v>41089</v>
      </c>
      <c r="Z142" s="15">
        <v>1.2479</v>
      </c>
    </row>
    <row r="143" spans="1:26" x14ac:dyDescent="0.25">
      <c r="A143" s="22">
        <v>41121</v>
      </c>
      <c r="B143" s="14">
        <v>9467</v>
      </c>
      <c r="D143" s="22">
        <v>41121</v>
      </c>
      <c r="E143" s="15">
        <v>31.524999999999999</v>
      </c>
      <c r="G143" s="22">
        <v>41121</v>
      </c>
      <c r="H143" s="15">
        <v>1.2444</v>
      </c>
      <c r="J143" s="22">
        <v>41121</v>
      </c>
      <c r="K143" s="14">
        <v>20870</v>
      </c>
      <c r="M143" s="22">
        <v>41121</v>
      </c>
      <c r="N143" s="15">
        <v>1.2305999999999999</v>
      </c>
      <c r="P143" s="22">
        <v>41121</v>
      </c>
      <c r="Q143" s="15">
        <v>0.97609999999999997</v>
      </c>
      <c r="S143" s="22">
        <v>41121</v>
      </c>
      <c r="T143" s="15">
        <v>1.0024999999999999</v>
      </c>
      <c r="V143" s="22">
        <v>41121</v>
      </c>
      <c r="W143" s="15">
        <v>0.95120000000000005</v>
      </c>
      <c r="Y143" s="22">
        <v>41121</v>
      </c>
      <c r="Z143" s="15">
        <v>1.2338</v>
      </c>
    </row>
    <row r="144" spans="1:26" x14ac:dyDescent="0.25">
      <c r="A144" s="22">
        <v>41152</v>
      </c>
      <c r="B144" s="14">
        <v>9572</v>
      </c>
      <c r="D144" s="22">
        <v>41152</v>
      </c>
      <c r="E144" s="15">
        <v>31.295000000000002</v>
      </c>
      <c r="G144" s="22">
        <v>41152</v>
      </c>
      <c r="H144" s="15">
        <v>1.2474000000000001</v>
      </c>
      <c r="J144" s="22">
        <v>41152</v>
      </c>
      <c r="K144" s="14">
        <v>20840</v>
      </c>
      <c r="M144" s="22">
        <v>41152</v>
      </c>
      <c r="N144" s="15">
        <v>1.2579</v>
      </c>
      <c r="P144" s="22">
        <v>41152</v>
      </c>
      <c r="Q144" s="15">
        <v>0.95489999999999997</v>
      </c>
      <c r="S144" s="22">
        <v>41152</v>
      </c>
      <c r="T144" s="15">
        <v>0.98629999999999995</v>
      </c>
      <c r="V144" s="22">
        <v>41152</v>
      </c>
      <c r="W144" s="15">
        <v>0.96879999999999999</v>
      </c>
      <c r="Y144" s="22">
        <v>41152</v>
      </c>
      <c r="Z144" s="15">
        <v>1.2446999999999999</v>
      </c>
    </row>
    <row r="145" spans="1:26" x14ac:dyDescent="0.25">
      <c r="A145" s="22">
        <v>41180</v>
      </c>
      <c r="B145" s="14">
        <v>9591</v>
      </c>
      <c r="D145" s="22">
        <v>41180</v>
      </c>
      <c r="E145" s="15">
        <v>30.83</v>
      </c>
      <c r="G145" s="22">
        <v>41180</v>
      </c>
      <c r="H145" s="15">
        <v>1.2274</v>
      </c>
      <c r="J145" s="22">
        <v>41180</v>
      </c>
      <c r="K145" s="14">
        <v>20885</v>
      </c>
      <c r="M145" s="22">
        <v>41180</v>
      </c>
      <c r="N145" s="15">
        <v>1.286</v>
      </c>
      <c r="P145" s="22">
        <v>41180</v>
      </c>
      <c r="Q145" s="15">
        <v>0.93979999999999997</v>
      </c>
      <c r="S145" s="22">
        <v>41180</v>
      </c>
      <c r="T145" s="15">
        <v>0.98370000000000002</v>
      </c>
      <c r="V145" s="22">
        <v>41180</v>
      </c>
      <c r="W145" s="15">
        <v>0.96350000000000002</v>
      </c>
      <c r="Y145" s="22">
        <v>41180</v>
      </c>
      <c r="Z145" s="15">
        <v>1.2047000000000001</v>
      </c>
    </row>
    <row r="146" spans="1:26" x14ac:dyDescent="0.25">
      <c r="A146" s="22">
        <v>41213</v>
      </c>
      <c r="B146" s="14">
        <v>9624</v>
      </c>
      <c r="D146" s="22">
        <v>41213</v>
      </c>
      <c r="E146" s="15">
        <v>30.684999999999999</v>
      </c>
      <c r="G146" s="22">
        <v>41213</v>
      </c>
      <c r="H146" s="15">
        <v>1.2198</v>
      </c>
      <c r="J146" s="22">
        <v>41213</v>
      </c>
      <c r="K146" s="14">
        <v>20850</v>
      </c>
      <c r="M146" s="22">
        <v>41213</v>
      </c>
      <c r="N146" s="15">
        <v>1.2969999999999999</v>
      </c>
      <c r="P146" s="22">
        <v>41213</v>
      </c>
      <c r="Q146" s="15">
        <v>0.93079999999999996</v>
      </c>
      <c r="S146" s="22">
        <v>41213</v>
      </c>
      <c r="T146" s="15">
        <v>0.99970000000000003</v>
      </c>
      <c r="V146" s="22">
        <v>41213</v>
      </c>
      <c r="W146" s="15">
        <v>0.96330000000000005</v>
      </c>
      <c r="Y146" s="22">
        <v>41213</v>
      </c>
      <c r="Z146" s="15">
        <v>1.2157</v>
      </c>
    </row>
    <row r="147" spans="1:26" x14ac:dyDescent="0.25">
      <c r="A147" s="22">
        <v>41243</v>
      </c>
      <c r="B147" s="14">
        <v>9618</v>
      </c>
      <c r="D147" s="22">
        <v>41243</v>
      </c>
      <c r="E147" s="15">
        <v>30.71</v>
      </c>
      <c r="G147" s="22">
        <v>41243</v>
      </c>
      <c r="H147" s="15">
        <v>1.2202</v>
      </c>
      <c r="J147" s="22">
        <v>41243</v>
      </c>
      <c r="K147" s="14">
        <v>20850</v>
      </c>
      <c r="M147" s="22">
        <v>41243</v>
      </c>
      <c r="N147" s="15">
        <v>1.2986</v>
      </c>
      <c r="P147" s="22">
        <v>41243</v>
      </c>
      <c r="Q147" s="15">
        <v>0.92810000000000004</v>
      </c>
      <c r="S147" s="22">
        <v>41243</v>
      </c>
      <c r="T147" s="15">
        <v>0.99439999999999995</v>
      </c>
      <c r="V147" s="22">
        <v>41243</v>
      </c>
      <c r="W147" s="15">
        <v>0.95899999999999996</v>
      </c>
      <c r="Y147" s="22">
        <v>41243</v>
      </c>
      <c r="Z147" s="15">
        <v>1.2189000000000001</v>
      </c>
    </row>
    <row r="148" spans="1:26" x14ac:dyDescent="0.25">
      <c r="A148" s="22">
        <v>41274</v>
      </c>
      <c r="B148" s="14">
        <v>9793</v>
      </c>
      <c r="D148" s="22">
        <v>41274</v>
      </c>
      <c r="E148" s="15">
        <v>30.581</v>
      </c>
      <c r="G148" s="22">
        <v>41274</v>
      </c>
      <c r="H148" s="15">
        <v>1.2216</v>
      </c>
      <c r="J148" s="22">
        <v>41274</v>
      </c>
      <c r="K148" s="14">
        <v>20840</v>
      </c>
      <c r="M148" s="22">
        <v>41274</v>
      </c>
      <c r="N148" s="15">
        <v>1.3197000000000001</v>
      </c>
      <c r="P148" s="22">
        <v>41274</v>
      </c>
      <c r="Q148" s="15">
        <v>0.91469999999999996</v>
      </c>
      <c r="S148" s="22">
        <v>41274</v>
      </c>
      <c r="T148" s="15">
        <v>0.99490000000000001</v>
      </c>
      <c r="V148" s="22">
        <v>41274</v>
      </c>
      <c r="W148" s="15">
        <v>0.96309999999999996</v>
      </c>
      <c r="Y148" s="22">
        <v>41274</v>
      </c>
      <c r="Z148" s="15">
        <v>1.2101999999999999</v>
      </c>
    </row>
    <row r="149" spans="1:26" x14ac:dyDescent="0.25">
      <c r="A149" s="22">
        <v>41305</v>
      </c>
      <c r="B149" s="14">
        <v>9744</v>
      </c>
      <c r="D149" s="22">
        <v>41305</v>
      </c>
      <c r="E149" s="15">
        <v>29.853000000000002</v>
      </c>
      <c r="G149" s="22">
        <v>41305</v>
      </c>
      <c r="H149" s="15">
        <v>1.2375</v>
      </c>
      <c r="J149" s="22">
        <v>41305</v>
      </c>
      <c r="K149" s="14">
        <v>20840</v>
      </c>
      <c r="M149" s="22">
        <v>41305</v>
      </c>
      <c r="N149" s="15">
        <v>1.3585</v>
      </c>
      <c r="P149" s="22">
        <v>41305</v>
      </c>
      <c r="Q149" s="15">
        <v>0.90869999999999995</v>
      </c>
      <c r="S149" s="22">
        <v>41305</v>
      </c>
      <c r="T149" s="15">
        <v>0.99719999999999998</v>
      </c>
      <c r="V149" s="22">
        <v>41305</v>
      </c>
      <c r="W149" s="15">
        <v>0.95809999999999995</v>
      </c>
      <c r="Y149" s="22">
        <v>41305</v>
      </c>
      <c r="Z149" s="15">
        <v>1.1903999999999999</v>
      </c>
    </row>
    <row r="150" spans="1:26" x14ac:dyDescent="0.25">
      <c r="A150" s="22">
        <v>41333</v>
      </c>
      <c r="B150" s="14">
        <v>9669</v>
      </c>
      <c r="D150" s="22">
        <v>41333</v>
      </c>
      <c r="E150" s="15">
        <v>29.773</v>
      </c>
      <c r="G150" s="22">
        <v>41333</v>
      </c>
      <c r="H150" s="15">
        <v>1.2372000000000001</v>
      </c>
      <c r="J150" s="22">
        <v>41333</v>
      </c>
      <c r="K150" s="14">
        <v>20955</v>
      </c>
      <c r="M150" s="22">
        <v>41333</v>
      </c>
      <c r="N150" s="15">
        <v>1.3084</v>
      </c>
      <c r="P150" s="22">
        <v>41333</v>
      </c>
      <c r="Q150" s="15">
        <v>0.93379999999999996</v>
      </c>
      <c r="S150" s="22">
        <v>41333</v>
      </c>
      <c r="T150" s="15">
        <v>1.0294000000000001</v>
      </c>
      <c r="V150" s="22">
        <v>41333</v>
      </c>
      <c r="W150" s="15">
        <v>0.97660000000000002</v>
      </c>
      <c r="Y150" s="22">
        <v>41333</v>
      </c>
      <c r="Z150" s="15">
        <v>1.2084999999999999</v>
      </c>
    </row>
    <row r="151" spans="1:26" x14ac:dyDescent="0.25">
      <c r="A151" s="22">
        <v>41362</v>
      </c>
      <c r="B151" s="14">
        <v>9735</v>
      </c>
      <c r="D151" s="22">
        <v>41362</v>
      </c>
      <c r="E151" s="15">
        <v>29.265000000000001</v>
      </c>
      <c r="G151" s="22">
        <v>41362</v>
      </c>
      <c r="H151" s="15">
        <v>1.2403</v>
      </c>
      <c r="J151" s="22">
        <v>41362</v>
      </c>
      <c r="K151" s="14">
        <v>20935</v>
      </c>
      <c r="M151" s="22">
        <v>41362</v>
      </c>
      <c r="N151" s="15">
        <v>1.2819</v>
      </c>
      <c r="P151" s="22">
        <v>41362</v>
      </c>
      <c r="Q151" s="15">
        <v>0.94920000000000004</v>
      </c>
      <c r="S151" s="22">
        <v>41362</v>
      </c>
      <c r="T151" s="15">
        <v>1.0174000000000001</v>
      </c>
      <c r="V151" s="22">
        <v>41362</v>
      </c>
      <c r="W151" s="15">
        <v>0.95979999999999999</v>
      </c>
      <c r="Y151" s="22">
        <v>41362</v>
      </c>
      <c r="Z151" s="15">
        <v>1.1946000000000001</v>
      </c>
    </row>
    <row r="152" spans="1:26" x14ac:dyDescent="0.25">
      <c r="A152" s="22">
        <v>41394</v>
      </c>
      <c r="B152" s="14">
        <v>9734</v>
      </c>
      <c r="D152" s="22">
        <v>41394</v>
      </c>
      <c r="E152" s="15">
        <v>29.268000000000001</v>
      </c>
      <c r="G152" s="22">
        <v>41394</v>
      </c>
      <c r="H152" s="15">
        <v>1.2325999999999999</v>
      </c>
      <c r="J152" s="22">
        <v>41394</v>
      </c>
      <c r="K152" s="14">
        <v>20930</v>
      </c>
      <c r="M152" s="22">
        <v>41394</v>
      </c>
      <c r="N152" s="15">
        <v>1.3158000000000001</v>
      </c>
      <c r="P152" s="22">
        <v>41394</v>
      </c>
      <c r="Q152" s="15">
        <v>0.93089999999999995</v>
      </c>
      <c r="S152" s="22">
        <v>41394</v>
      </c>
      <c r="T152" s="15">
        <v>1.0073000000000001</v>
      </c>
      <c r="V152" s="22">
        <v>41394</v>
      </c>
      <c r="W152" s="15">
        <v>0.96450000000000002</v>
      </c>
      <c r="Y152" s="22">
        <v>41394</v>
      </c>
      <c r="Z152" s="15">
        <v>1.1662999999999999</v>
      </c>
    </row>
    <row r="153" spans="1:26" x14ac:dyDescent="0.25">
      <c r="A153" s="22">
        <v>41425</v>
      </c>
      <c r="B153" s="14">
        <v>9877</v>
      </c>
      <c r="D153" s="22">
        <v>41425</v>
      </c>
      <c r="E153" s="15">
        <v>30.34</v>
      </c>
      <c r="G153" s="22">
        <v>41425</v>
      </c>
      <c r="H153" s="15">
        <v>1.2643</v>
      </c>
      <c r="J153" s="22">
        <v>41425</v>
      </c>
      <c r="K153" s="14">
        <v>21013</v>
      </c>
      <c r="M153" s="22">
        <v>41425</v>
      </c>
      <c r="N153" s="15">
        <v>1.2999000000000001</v>
      </c>
      <c r="P153" s="22">
        <v>41425</v>
      </c>
      <c r="Q153" s="15">
        <v>0.95509999999999995</v>
      </c>
      <c r="S153" s="22">
        <v>41425</v>
      </c>
      <c r="T153" s="15">
        <v>1.0375000000000001</v>
      </c>
      <c r="V153" s="22">
        <v>41425</v>
      </c>
      <c r="W153" s="15">
        <v>1.0448</v>
      </c>
      <c r="Y153" s="22">
        <v>41425</v>
      </c>
      <c r="Z153" s="15">
        <v>1.2587999999999999</v>
      </c>
    </row>
    <row r="154" spans="1:26" x14ac:dyDescent="0.25">
      <c r="A154" s="22">
        <v>41453</v>
      </c>
      <c r="B154" s="14">
        <v>10004</v>
      </c>
      <c r="D154" s="22">
        <v>41453</v>
      </c>
      <c r="E154" s="15">
        <v>31.053000000000001</v>
      </c>
      <c r="G154" s="22">
        <v>41453</v>
      </c>
      <c r="H154" s="15">
        <v>1.2679</v>
      </c>
      <c r="J154" s="22">
        <v>41453</v>
      </c>
      <c r="K154" s="14">
        <v>21205</v>
      </c>
      <c r="M154" s="22">
        <v>41453</v>
      </c>
      <c r="N154" s="15">
        <v>1.3009999999999999</v>
      </c>
      <c r="P154" s="22">
        <v>41453</v>
      </c>
      <c r="Q154" s="15">
        <v>0.94499999999999995</v>
      </c>
      <c r="S154" s="22">
        <v>41453</v>
      </c>
      <c r="T154" s="15">
        <v>1.0519000000000001</v>
      </c>
      <c r="V154" s="22">
        <v>41453</v>
      </c>
      <c r="W154" s="15">
        <v>1.0943000000000001</v>
      </c>
      <c r="Y154" s="22">
        <v>41453</v>
      </c>
      <c r="Z154" s="15">
        <v>1.2919</v>
      </c>
    </row>
    <row r="155" spans="1:26" x14ac:dyDescent="0.25">
      <c r="A155" s="22">
        <v>41486</v>
      </c>
      <c r="B155" s="14">
        <v>10257</v>
      </c>
      <c r="D155" s="22">
        <v>41486</v>
      </c>
      <c r="E155" s="15">
        <v>31.36</v>
      </c>
      <c r="G155" s="22">
        <v>41486</v>
      </c>
      <c r="H155" s="15">
        <v>1.2747999999999999</v>
      </c>
      <c r="J155" s="22">
        <v>41486</v>
      </c>
      <c r="K155" s="14">
        <v>21175</v>
      </c>
      <c r="M155" s="22">
        <v>41486</v>
      </c>
      <c r="N155" s="15">
        <v>1.3275999999999999</v>
      </c>
      <c r="P155" s="22">
        <v>41486</v>
      </c>
      <c r="Q155" s="15">
        <v>0.9284</v>
      </c>
      <c r="S155" s="22">
        <v>41486</v>
      </c>
      <c r="T155" s="15">
        <v>1.0287999999999999</v>
      </c>
      <c r="V155" s="22">
        <v>41486</v>
      </c>
      <c r="W155" s="15">
        <v>1.1157999999999999</v>
      </c>
      <c r="Y155" s="22">
        <v>41486</v>
      </c>
      <c r="Z155" s="15">
        <v>1.2556</v>
      </c>
    </row>
    <row r="156" spans="1:26" x14ac:dyDescent="0.25">
      <c r="A156" s="22">
        <v>41516</v>
      </c>
      <c r="B156" s="14">
        <v>11184</v>
      </c>
      <c r="D156" s="22">
        <v>41516</v>
      </c>
      <c r="E156" s="15">
        <v>32.15</v>
      </c>
      <c r="G156" s="22">
        <v>41516</v>
      </c>
      <c r="H156" s="15">
        <v>1.2748999999999999</v>
      </c>
      <c r="J156" s="22">
        <v>41516</v>
      </c>
      <c r="K156" s="14">
        <v>21155</v>
      </c>
      <c r="M156" s="22">
        <v>41516</v>
      </c>
      <c r="N156" s="15">
        <v>1.3222</v>
      </c>
      <c r="P156" s="22">
        <v>41516</v>
      </c>
      <c r="Q156" s="15">
        <v>0.92979999999999996</v>
      </c>
      <c r="S156" s="22">
        <v>41516</v>
      </c>
      <c r="T156" s="15">
        <v>1.0537000000000001</v>
      </c>
      <c r="V156" s="22">
        <v>41516</v>
      </c>
      <c r="W156" s="15">
        <v>1.1234999999999999</v>
      </c>
      <c r="Y156" s="22">
        <v>41516</v>
      </c>
      <c r="Z156" s="15">
        <v>1.2942</v>
      </c>
    </row>
    <row r="157" spans="1:26" x14ac:dyDescent="0.25">
      <c r="A157" s="22">
        <v>41547</v>
      </c>
      <c r="B157" s="14">
        <v>11406</v>
      </c>
      <c r="D157" s="22">
        <v>41547</v>
      </c>
      <c r="E157" s="15">
        <v>31.24</v>
      </c>
      <c r="G157" s="22">
        <v>41547</v>
      </c>
      <c r="H157" s="15">
        <v>1.2547999999999999</v>
      </c>
      <c r="J157" s="22">
        <v>41547</v>
      </c>
      <c r="K157" s="14">
        <v>21113</v>
      </c>
      <c r="M157" s="22">
        <v>41547</v>
      </c>
      <c r="N157" s="15">
        <v>1.3532</v>
      </c>
      <c r="P157" s="22">
        <v>41547</v>
      </c>
      <c r="Q157" s="15">
        <v>0.90439999999999998</v>
      </c>
      <c r="S157" s="22">
        <v>41547</v>
      </c>
      <c r="T157" s="15">
        <v>1.0296000000000001</v>
      </c>
      <c r="V157" s="22">
        <v>41547</v>
      </c>
      <c r="W157" s="15">
        <v>1.071</v>
      </c>
      <c r="Y157" s="22">
        <v>41547</v>
      </c>
      <c r="Z157" s="15">
        <v>1.2018</v>
      </c>
    </row>
    <row r="158" spans="1:26" x14ac:dyDescent="0.25">
      <c r="A158" s="22">
        <v>41578</v>
      </c>
      <c r="B158" s="14">
        <v>11274</v>
      </c>
      <c r="D158" s="22">
        <v>41578</v>
      </c>
      <c r="E158" s="15">
        <v>31.17</v>
      </c>
      <c r="G158" s="22">
        <v>41578</v>
      </c>
      <c r="H158" s="15">
        <v>1.2411000000000001</v>
      </c>
      <c r="J158" s="22">
        <v>41578</v>
      </c>
      <c r="K158" s="14">
        <v>21100</v>
      </c>
      <c r="M158" s="22">
        <v>41578</v>
      </c>
      <c r="N158" s="15">
        <v>1.3599000000000001</v>
      </c>
      <c r="P158" s="22">
        <v>41578</v>
      </c>
      <c r="Q158" s="15">
        <v>0.90469999999999995</v>
      </c>
      <c r="S158" s="22">
        <v>41578</v>
      </c>
      <c r="T158" s="15">
        <v>1.0428999999999999</v>
      </c>
      <c r="V158" s="22">
        <v>41578</v>
      </c>
      <c r="W158" s="15">
        <v>1.0568</v>
      </c>
      <c r="Y158" s="22">
        <v>41578</v>
      </c>
      <c r="Z158" s="15">
        <v>1.2094</v>
      </c>
    </row>
    <row r="159" spans="1:26" x14ac:dyDescent="0.25">
      <c r="A159" s="22">
        <v>41607</v>
      </c>
      <c r="B159" s="14">
        <v>11965</v>
      </c>
      <c r="D159" s="22">
        <v>41607</v>
      </c>
      <c r="E159" s="15">
        <v>32.049999999999997</v>
      </c>
      <c r="G159" s="22">
        <v>41607</v>
      </c>
      <c r="H159" s="15">
        <v>1.2556</v>
      </c>
      <c r="J159" s="22">
        <v>41607</v>
      </c>
      <c r="K159" s="14">
        <v>21120</v>
      </c>
      <c r="M159" s="22">
        <v>41607</v>
      </c>
      <c r="N159" s="15">
        <v>1.3591</v>
      </c>
      <c r="P159" s="22">
        <v>41607</v>
      </c>
      <c r="Q159" s="15">
        <v>0.90620000000000001</v>
      </c>
      <c r="S159" s="22">
        <v>41607</v>
      </c>
      <c r="T159" s="15">
        <v>1.0613999999999999</v>
      </c>
      <c r="V159" s="22">
        <v>41607</v>
      </c>
      <c r="W159" s="15">
        <v>1.0980000000000001</v>
      </c>
      <c r="Y159" s="22">
        <v>41607</v>
      </c>
      <c r="Z159" s="15">
        <v>1.2302</v>
      </c>
    </row>
    <row r="160" spans="1:26" x14ac:dyDescent="0.25">
      <c r="A160" s="22">
        <v>41639</v>
      </c>
      <c r="B160" s="14">
        <v>12171</v>
      </c>
      <c r="D160" s="22">
        <v>41639</v>
      </c>
      <c r="E160" s="15">
        <v>32.700000000000003</v>
      </c>
      <c r="G160" s="22">
        <v>41639</v>
      </c>
      <c r="H160" s="15">
        <v>1.2624</v>
      </c>
      <c r="J160" s="22">
        <v>41639</v>
      </c>
      <c r="K160" s="14">
        <v>21095</v>
      </c>
      <c r="M160" s="22">
        <v>41639</v>
      </c>
      <c r="N160" s="15">
        <v>1.3789</v>
      </c>
      <c r="P160" s="22">
        <v>41639</v>
      </c>
      <c r="Q160" s="15">
        <v>0.88859999999999995</v>
      </c>
      <c r="S160" s="22">
        <v>41639</v>
      </c>
      <c r="T160" s="15">
        <v>1.0628</v>
      </c>
      <c r="V160" s="22">
        <v>41639</v>
      </c>
      <c r="W160" s="15">
        <v>1.1202000000000001</v>
      </c>
      <c r="Y160" s="22">
        <v>41639</v>
      </c>
      <c r="Z160" s="15">
        <v>1.214</v>
      </c>
    </row>
    <row r="161" spans="1:26" x14ac:dyDescent="0.25">
      <c r="A161" s="22">
        <v>41670</v>
      </c>
      <c r="B161" s="14">
        <v>12213</v>
      </c>
      <c r="D161" s="22">
        <v>41670</v>
      </c>
      <c r="E161" s="15">
        <v>33.020000000000003</v>
      </c>
      <c r="G161" s="22">
        <v>41670</v>
      </c>
      <c r="H161" s="15">
        <v>1.2766999999999999</v>
      </c>
      <c r="J161" s="22">
        <v>41670</v>
      </c>
      <c r="K161" s="14">
        <v>21060</v>
      </c>
      <c r="M161" s="22">
        <v>41670</v>
      </c>
      <c r="N161" s="15">
        <v>1.3486</v>
      </c>
      <c r="P161" s="22">
        <v>41670</v>
      </c>
      <c r="Q161" s="15">
        <v>0.90649999999999997</v>
      </c>
      <c r="S161" s="22">
        <v>41670</v>
      </c>
      <c r="T161" s="15">
        <v>1.1128</v>
      </c>
      <c r="V161" s="22">
        <v>41670</v>
      </c>
      <c r="W161" s="15">
        <v>1.1420999999999999</v>
      </c>
      <c r="Y161" s="22">
        <v>41670</v>
      </c>
      <c r="Z161" s="15">
        <v>1.2369000000000001</v>
      </c>
    </row>
    <row r="162" spans="1:26" x14ac:dyDescent="0.25">
      <c r="A162" s="22">
        <v>41698</v>
      </c>
      <c r="B162" s="14">
        <v>11610</v>
      </c>
      <c r="D162" s="22">
        <v>41698</v>
      </c>
      <c r="E162" s="15">
        <v>32.56</v>
      </c>
      <c r="G162" s="22">
        <v>41698</v>
      </c>
      <c r="H162" s="15">
        <v>1.2678</v>
      </c>
      <c r="J162" s="22">
        <v>41698</v>
      </c>
      <c r="K162" s="14">
        <v>21100</v>
      </c>
      <c r="M162" s="22">
        <v>41698</v>
      </c>
      <c r="N162" s="15">
        <v>1.3802000000000001</v>
      </c>
      <c r="P162" s="22">
        <v>41698</v>
      </c>
      <c r="Q162" s="15">
        <v>0.88029999999999997</v>
      </c>
      <c r="S162" s="22">
        <v>41698</v>
      </c>
      <c r="T162" s="15">
        <v>1.1064000000000001</v>
      </c>
      <c r="V162" s="22">
        <v>41698</v>
      </c>
      <c r="W162" s="15">
        <v>1.1205000000000001</v>
      </c>
      <c r="Y162" s="22">
        <v>41698</v>
      </c>
      <c r="Z162" s="15">
        <v>1.1927000000000001</v>
      </c>
    </row>
    <row r="163" spans="1:26" x14ac:dyDescent="0.25">
      <c r="A163" s="22">
        <v>41729</v>
      </c>
      <c r="B163" s="14">
        <v>11361</v>
      </c>
      <c r="D163" s="22">
        <v>41729</v>
      </c>
      <c r="E163" s="15">
        <v>32.427999999999997</v>
      </c>
      <c r="G163" s="22">
        <v>41729</v>
      </c>
      <c r="H163" s="15">
        <v>1.2583</v>
      </c>
      <c r="J163" s="22">
        <v>41729</v>
      </c>
      <c r="K163" s="14">
        <v>21098</v>
      </c>
      <c r="M163" s="22">
        <v>41729</v>
      </c>
      <c r="N163" s="15">
        <v>1.3772</v>
      </c>
      <c r="P163" s="22">
        <v>41729</v>
      </c>
      <c r="Q163" s="15">
        <v>0.8841</v>
      </c>
      <c r="S163" s="22">
        <v>41729</v>
      </c>
      <c r="T163" s="15">
        <v>1.1039000000000001</v>
      </c>
      <c r="V163" s="22">
        <v>41729</v>
      </c>
      <c r="W163" s="15">
        <v>1.0787</v>
      </c>
      <c r="Y163" s="22">
        <v>41729</v>
      </c>
      <c r="Z163" s="15">
        <v>1.1529</v>
      </c>
    </row>
    <row r="164" spans="1:26" x14ac:dyDescent="0.25">
      <c r="A164" s="22">
        <v>41759</v>
      </c>
      <c r="B164" s="14">
        <v>11562</v>
      </c>
      <c r="D164" s="22">
        <v>41759</v>
      </c>
      <c r="E164" s="15">
        <v>32.360999999999997</v>
      </c>
      <c r="G164" s="22">
        <v>41759</v>
      </c>
      <c r="H164" s="15">
        <v>1.2552000000000001</v>
      </c>
      <c r="J164" s="22">
        <v>41759</v>
      </c>
      <c r="K164" s="14">
        <v>21083</v>
      </c>
      <c r="M164" s="22">
        <v>41759</v>
      </c>
      <c r="N164" s="15">
        <v>1.3866000000000001</v>
      </c>
      <c r="P164" s="22">
        <v>41759</v>
      </c>
      <c r="Q164" s="15">
        <v>0.88039999999999996</v>
      </c>
      <c r="S164" s="22">
        <v>41759</v>
      </c>
      <c r="T164" s="15">
        <v>1.0949</v>
      </c>
      <c r="V164" s="22">
        <v>41759</v>
      </c>
      <c r="W164" s="15">
        <v>1.0780000000000001</v>
      </c>
      <c r="Y164" s="22">
        <v>41759</v>
      </c>
      <c r="Z164" s="15">
        <v>1.1623000000000001</v>
      </c>
    </row>
    <row r="165" spans="1:26" x14ac:dyDescent="0.25">
      <c r="A165" s="22">
        <v>41789</v>
      </c>
      <c r="B165" s="14">
        <v>11676</v>
      </c>
      <c r="D165" s="22">
        <v>41789</v>
      </c>
      <c r="E165" s="15">
        <v>32.840000000000003</v>
      </c>
      <c r="G165" s="22">
        <v>41789</v>
      </c>
      <c r="H165" s="15">
        <v>1.2542</v>
      </c>
      <c r="J165" s="22">
        <v>41789</v>
      </c>
      <c r="K165" s="14">
        <v>21158</v>
      </c>
      <c r="M165" s="22">
        <v>41789</v>
      </c>
      <c r="N165" s="15">
        <v>1.3634999999999999</v>
      </c>
      <c r="P165" s="22">
        <v>41789</v>
      </c>
      <c r="Q165" s="15">
        <v>0.8952</v>
      </c>
      <c r="S165" s="22">
        <v>41789</v>
      </c>
      <c r="T165" s="15">
        <v>1.0846</v>
      </c>
      <c r="V165" s="22">
        <v>41789</v>
      </c>
      <c r="W165" s="15">
        <v>1.0741000000000001</v>
      </c>
      <c r="Y165" s="22">
        <v>41789</v>
      </c>
      <c r="Z165" s="15">
        <v>1.1765000000000001</v>
      </c>
    </row>
    <row r="166" spans="1:26" x14ac:dyDescent="0.25">
      <c r="A166" s="22">
        <v>41820</v>
      </c>
      <c r="B166" s="14">
        <v>11875</v>
      </c>
      <c r="D166" s="22">
        <v>41820</v>
      </c>
      <c r="E166" s="15">
        <v>32.438000000000002</v>
      </c>
      <c r="G166" s="22">
        <v>41820</v>
      </c>
      <c r="H166" s="15">
        <v>1.2468999999999999</v>
      </c>
      <c r="J166" s="22">
        <v>41820</v>
      </c>
      <c r="K166" s="14">
        <v>21330</v>
      </c>
      <c r="M166" s="22">
        <v>41820</v>
      </c>
      <c r="N166" s="15">
        <v>1.369</v>
      </c>
      <c r="P166" s="22">
        <v>41820</v>
      </c>
      <c r="Q166" s="15">
        <v>0.8871</v>
      </c>
      <c r="S166" s="22">
        <v>41820</v>
      </c>
      <c r="T166" s="15">
        <v>1.0666</v>
      </c>
      <c r="V166" s="22">
        <v>41820</v>
      </c>
      <c r="W166" s="15">
        <v>1.0612999999999999</v>
      </c>
      <c r="Y166" s="22">
        <v>41820</v>
      </c>
      <c r="Z166" s="15">
        <v>1.143</v>
      </c>
    </row>
    <row r="167" spans="1:26" x14ac:dyDescent="0.25">
      <c r="A167" s="22">
        <v>41851</v>
      </c>
      <c r="B167" s="14">
        <v>11580</v>
      </c>
      <c r="D167" s="22">
        <v>41851</v>
      </c>
      <c r="E167" s="15">
        <v>32.186999999999998</v>
      </c>
      <c r="G167" s="22">
        <v>41851</v>
      </c>
      <c r="H167" s="15">
        <v>1.2465999999999999</v>
      </c>
      <c r="J167" s="22">
        <v>41851</v>
      </c>
      <c r="K167" s="14">
        <v>21233</v>
      </c>
      <c r="M167" s="22">
        <v>41851</v>
      </c>
      <c r="N167" s="15">
        <v>1.3385</v>
      </c>
      <c r="P167" s="22">
        <v>41851</v>
      </c>
      <c r="Q167" s="15">
        <v>0.90890000000000004</v>
      </c>
      <c r="S167" s="22">
        <v>41851</v>
      </c>
      <c r="T167" s="15">
        <v>1.0893999999999999</v>
      </c>
      <c r="V167" s="22">
        <v>41851</v>
      </c>
      <c r="W167" s="15">
        <v>1.0757000000000001</v>
      </c>
      <c r="Y167" s="22">
        <v>41851</v>
      </c>
      <c r="Z167" s="15">
        <v>1.179</v>
      </c>
    </row>
    <row r="168" spans="1:26" x14ac:dyDescent="0.25">
      <c r="A168" s="22">
        <v>41880</v>
      </c>
      <c r="B168" s="14">
        <v>11690</v>
      </c>
      <c r="D168" s="22">
        <v>41880</v>
      </c>
      <c r="E168" s="15">
        <v>31.94</v>
      </c>
      <c r="G168" s="22">
        <v>41880</v>
      </c>
      <c r="H168" s="15">
        <v>1.2486999999999999</v>
      </c>
      <c r="J168" s="22">
        <v>41880</v>
      </c>
      <c r="K168" s="14">
        <v>21195</v>
      </c>
      <c r="M168" s="22">
        <v>41880</v>
      </c>
      <c r="N168" s="15">
        <v>1.3131999999999999</v>
      </c>
      <c r="P168" s="22">
        <v>41880</v>
      </c>
      <c r="Q168" s="15">
        <v>0.91820000000000002</v>
      </c>
      <c r="S168" s="22">
        <v>41880</v>
      </c>
      <c r="T168" s="15">
        <v>1.0878000000000001</v>
      </c>
      <c r="V168" s="22">
        <v>41880</v>
      </c>
      <c r="W168" s="15">
        <v>1.0707</v>
      </c>
      <c r="Y168" s="22">
        <v>41880</v>
      </c>
      <c r="Z168" s="15">
        <v>1.1963999999999999</v>
      </c>
    </row>
    <row r="169" spans="1:26" x14ac:dyDescent="0.25">
      <c r="A169" s="22">
        <v>41912</v>
      </c>
      <c r="B169" s="14">
        <v>12188</v>
      </c>
      <c r="D169" s="22">
        <v>41912</v>
      </c>
      <c r="E169" s="15">
        <v>32.43</v>
      </c>
      <c r="G169" s="22">
        <v>41912</v>
      </c>
      <c r="H169" s="15">
        <v>1.2756000000000001</v>
      </c>
      <c r="J169" s="22">
        <v>41912</v>
      </c>
      <c r="K169" s="14">
        <v>21228</v>
      </c>
      <c r="M169" s="22">
        <v>41912</v>
      </c>
      <c r="N169" s="15">
        <v>1.2628999999999999</v>
      </c>
      <c r="P169" s="22">
        <v>41912</v>
      </c>
      <c r="Q169" s="15">
        <v>0.95469999999999999</v>
      </c>
      <c r="S169" s="22">
        <v>41912</v>
      </c>
      <c r="T169" s="15">
        <v>1.1209</v>
      </c>
      <c r="V169" s="22">
        <v>41912</v>
      </c>
      <c r="W169" s="15">
        <v>1.1444000000000001</v>
      </c>
      <c r="Y169" s="22">
        <v>41912</v>
      </c>
      <c r="Z169" s="15">
        <v>1.2839</v>
      </c>
    </row>
    <row r="170" spans="1:26" x14ac:dyDescent="0.25">
      <c r="A170" s="22">
        <v>41943</v>
      </c>
      <c r="B170" s="14">
        <v>12085</v>
      </c>
      <c r="D170" s="22">
        <v>41943</v>
      </c>
      <c r="E170" s="15">
        <v>32.6</v>
      </c>
      <c r="G170" s="22">
        <v>41943</v>
      </c>
      <c r="H170" s="15">
        <v>1.2855000000000001</v>
      </c>
      <c r="J170" s="22">
        <v>41943</v>
      </c>
      <c r="K170" s="14">
        <v>21280</v>
      </c>
      <c r="M170" s="22">
        <v>41943</v>
      </c>
      <c r="N170" s="15">
        <v>1.2524999999999999</v>
      </c>
      <c r="P170" s="22">
        <v>41943</v>
      </c>
      <c r="Q170" s="15">
        <v>0.96260000000000001</v>
      </c>
      <c r="S170" s="22">
        <v>41943</v>
      </c>
      <c r="T170" s="15">
        <v>1.1266</v>
      </c>
      <c r="V170" s="22">
        <v>41943</v>
      </c>
      <c r="W170" s="15">
        <v>1.1366000000000001</v>
      </c>
      <c r="Y170" s="22">
        <v>41943</v>
      </c>
      <c r="Z170" s="15">
        <v>1.2827999999999999</v>
      </c>
    </row>
    <row r="171" spans="1:26" x14ac:dyDescent="0.25">
      <c r="A171" s="22">
        <v>41971</v>
      </c>
      <c r="B171" s="14">
        <v>12206</v>
      </c>
      <c r="D171" s="22">
        <v>41971</v>
      </c>
      <c r="E171" s="15">
        <v>32.85</v>
      </c>
      <c r="G171" s="22">
        <v>41971</v>
      </c>
      <c r="H171" s="15">
        <v>1.3044</v>
      </c>
      <c r="J171" s="22">
        <v>41971</v>
      </c>
      <c r="K171" s="14">
        <v>21398</v>
      </c>
      <c r="M171" s="22">
        <v>41971</v>
      </c>
      <c r="N171" s="15">
        <v>1.2452000000000001</v>
      </c>
      <c r="P171" s="22">
        <v>41971</v>
      </c>
      <c r="Q171" s="15">
        <v>0.96530000000000005</v>
      </c>
      <c r="S171" s="22">
        <v>41971</v>
      </c>
      <c r="T171" s="15">
        <v>1.1415999999999999</v>
      </c>
      <c r="V171" s="22">
        <v>41971</v>
      </c>
      <c r="W171" s="15">
        <v>1.1755</v>
      </c>
      <c r="Y171" s="22">
        <v>41971</v>
      </c>
      <c r="Z171" s="15">
        <v>1.2749999999999999</v>
      </c>
    </row>
    <row r="172" spans="1:26" x14ac:dyDescent="0.25">
      <c r="A172" s="22">
        <v>42004</v>
      </c>
      <c r="B172" s="14">
        <v>12388</v>
      </c>
      <c r="D172" s="22">
        <v>42004</v>
      </c>
      <c r="E172" s="15">
        <v>32.909999999999997</v>
      </c>
      <c r="G172" s="22">
        <v>42004</v>
      </c>
      <c r="H172" s="15">
        <v>1.3246</v>
      </c>
      <c r="J172" s="22">
        <v>42004</v>
      </c>
      <c r="K172" s="14">
        <v>21388</v>
      </c>
      <c r="M172" s="22">
        <v>42004</v>
      </c>
      <c r="N172" s="15">
        <v>1.21</v>
      </c>
      <c r="P172" s="22">
        <v>42004</v>
      </c>
      <c r="Q172" s="15">
        <v>0.99390000000000001</v>
      </c>
      <c r="S172" s="22">
        <v>42004</v>
      </c>
      <c r="T172" s="15">
        <v>1.1615</v>
      </c>
      <c r="V172" s="22">
        <v>42004</v>
      </c>
      <c r="W172" s="15">
        <v>1.2242</v>
      </c>
      <c r="Y172" s="22">
        <v>42004</v>
      </c>
      <c r="Z172" s="15">
        <v>1.2819</v>
      </c>
    </row>
    <row r="173" spans="1:26" x14ac:dyDescent="0.25">
      <c r="A173" s="22">
        <v>42034</v>
      </c>
      <c r="B173" s="14">
        <v>12672</v>
      </c>
      <c r="D173" s="22">
        <v>42034</v>
      </c>
      <c r="E173" s="15">
        <v>32.76</v>
      </c>
      <c r="G173" s="22">
        <v>42034</v>
      </c>
      <c r="H173" s="15">
        <v>1.3542000000000001</v>
      </c>
      <c r="J173" s="22">
        <v>42034</v>
      </c>
      <c r="K173" s="14">
        <v>21317</v>
      </c>
      <c r="M173" s="22">
        <v>42034</v>
      </c>
      <c r="N173" s="15">
        <v>1.1291</v>
      </c>
      <c r="P173" s="22">
        <v>42034</v>
      </c>
      <c r="Q173" s="15">
        <v>0.92020000000000002</v>
      </c>
      <c r="S173" s="22">
        <v>42034</v>
      </c>
      <c r="T173" s="15">
        <v>1.2732000000000001</v>
      </c>
      <c r="V173" s="22">
        <v>42034</v>
      </c>
      <c r="W173" s="15">
        <v>1.2869999999999999</v>
      </c>
      <c r="Y173" s="22">
        <v>42034</v>
      </c>
      <c r="Z173" s="15">
        <v>1.3786</v>
      </c>
    </row>
    <row r="174" spans="1:26" x14ac:dyDescent="0.25">
      <c r="A174" s="22">
        <v>42062</v>
      </c>
      <c r="B174" s="14">
        <v>12932</v>
      </c>
      <c r="D174" s="22">
        <v>42062</v>
      </c>
      <c r="E174" s="15">
        <v>32.356999999999999</v>
      </c>
      <c r="G174" s="22">
        <v>42062</v>
      </c>
      <c r="H174" s="15">
        <v>1.3629</v>
      </c>
      <c r="J174" s="22">
        <v>42062</v>
      </c>
      <c r="K174" s="14">
        <v>21348</v>
      </c>
      <c r="M174" s="22">
        <v>42062</v>
      </c>
      <c r="N174" s="15">
        <v>1.1195999999999999</v>
      </c>
      <c r="P174" s="22">
        <v>42062</v>
      </c>
      <c r="Q174" s="15">
        <v>0.95430000000000004</v>
      </c>
      <c r="S174" s="22">
        <v>42062</v>
      </c>
      <c r="T174" s="15">
        <v>1.2515000000000001</v>
      </c>
      <c r="V174" s="22">
        <v>42062</v>
      </c>
      <c r="W174" s="15">
        <v>1.2802</v>
      </c>
      <c r="Y174" s="22">
        <v>42062</v>
      </c>
      <c r="Z174" s="15">
        <v>1.3220000000000001</v>
      </c>
    </row>
    <row r="175" spans="1:26" x14ac:dyDescent="0.25">
      <c r="A175" s="22">
        <v>42094</v>
      </c>
      <c r="B175" s="14">
        <v>13074</v>
      </c>
      <c r="D175" s="22">
        <v>42094</v>
      </c>
      <c r="E175" s="15">
        <v>32.558999999999997</v>
      </c>
      <c r="G175" s="22">
        <v>42094</v>
      </c>
      <c r="H175" s="15">
        <v>1.3732</v>
      </c>
      <c r="J175" s="22">
        <v>42094</v>
      </c>
      <c r="K175" s="14">
        <v>21555</v>
      </c>
      <c r="M175" s="22">
        <v>42094</v>
      </c>
      <c r="N175" s="15">
        <v>1.0728</v>
      </c>
      <c r="P175" s="22">
        <v>42094</v>
      </c>
      <c r="Q175" s="15">
        <v>0.9728</v>
      </c>
      <c r="S175" s="22">
        <v>42094</v>
      </c>
      <c r="T175" s="15">
        <v>1.2678</v>
      </c>
      <c r="V175" s="22">
        <v>42094</v>
      </c>
      <c r="W175" s="15">
        <v>1.3127</v>
      </c>
      <c r="Y175" s="22">
        <v>42094</v>
      </c>
      <c r="Z175" s="15">
        <v>1.3379000000000001</v>
      </c>
    </row>
    <row r="176" spans="1:26" x14ac:dyDescent="0.25">
      <c r="A176" s="22">
        <v>42124</v>
      </c>
      <c r="B176" s="14">
        <v>12963</v>
      </c>
      <c r="D176" s="22">
        <v>42124</v>
      </c>
      <c r="E176" s="15">
        <v>33.027999999999999</v>
      </c>
      <c r="G176" s="22">
        <v>42124</v>
      </c>
      <c r="H176" s="15">
        <v>1.3254999999999999</v>
      </c>
      <c r="J176" s="22">
        <v>42124</v>
      </c>
      <c r="K176" s="14">
        <v>21590</v>
      </c>
      <c r="M176" s="22">
        <v>42124</v>
      </c>
      <c r="N176" s="15">
        <v>1.1214</v>
      </c>
      <c r="P176" s="22">
        <v>42124</v>
      </c>
      <c r="Q176" s="15">
        <v>0.93820000000000003</v>
      </c>
      <c r="S176" s="22">
        <v>42124</v>
      </c>
      <c r="T176" s="15">
        <v>1.2091000000000001</v>
      </c>
      <c r="V176" s="22">
        <v>42124</v>
      </c>
      <c r="W176" s="15">
        <v>1.2664</v>
      </c>
      <c r="Y176" s="22">
        <v>42124</v>
      </c>
      <c r="Z176" s="15">
        <v>1.3134999999999999</v>
      </c>
    </row>
    <row r="177" spans="1:26" x14ac:dyDescent="0.25">
      <c r="A177" s="22">
        <v>42153</v>
      </c>
      <c r="B177" s="14">
        <v>13224</v>
      </c>
      <c r="D177" s="22">
        <v>42153</v>
      </c>
      <c r="E177" s="15">
        <v>33.700000000000003</v>
      </c>
      <c r="G177" s="22">
        <v>42153</v>
      </c>
      <c r="H177" s="15">
        <v>1.3478000000000001</v>
      </c>
      <c r="J177" s="22">
        <v>42153</v>
      </c>
      <c r="K177" s="14">
        <v>21815</v>
      </c>
      <c r="M177" s="22">
        <v>42153</v>
      </c>
      <c r="N177" s="15">
        <v>1.0986</v>
      </c>
      <c r="P177" s="22">
        <v>42153</v>
      </c>
      <c r="Q177" s="15">
        <v>0.94030000000000002</v>
      </c>
      <c r="S177" s="22">
        <v>42153</v>
      </c>
      <c r="T177" s="15">
        <v>1.2454000000000001</v>
      </c>
      <c r="V177" s="22">
        <v>42153</v>
      </c>
      <c r="W177" s="15">
        <v>1.3081</v>
      </c>
      <c r="Y177" s="22">
        <v>42153</v>
      </c>
      <c r="Z177" s="15">
        <v>1.4069</v>
      </c>
    </row>
    <row r="178" spans="1:26" x14ac:dyDescent="0.25">
      <c r="A178" s="22">
        <v>42185</v>
      </c>
      <c r="B178" s="14">
        <v>13339</v>
      </c>
      <c r="D178" s="22">
        <v>42185</v>
      </c>
      <c r="E178" s="15">
        <v>33.79</v>
      </c>
      <c r="G178" s="22">
        <v>42185</v>
      </c>
      <c r="H178" s="15">
        <v>1.3473999999999999</v>
      </c>
      <c r="J178" s="22">
        <v>42185</v>
      </c>
      <c r="K178" s="14">
        <v>21839</v>
      </c>
      <c r="M178" s="22">
        <v>42185</v>
      </c>
      <c r="N178" s="15">
        <v>1.1153</v>
      </c>
      <c r="P178" s="22">
        <v>42185</v>
      </c>
      <c r="Q178" s="15">
        <v>0.93520000000000003</v>
      </c>
      <c r="S178" s="22">
        <v>42185</v>
      </c>
      <c r="T178" s="15">
        <v>1.2483</v>
      </c>
      <c r="V178" s="22">
        <v>42185</v>
      </c>
      <c r="W178" s="15">
        <v>1.2971999999999999</v>
      </c>
      <c r="Y178" s="22">
        <v>42185</v>
      </c>
      <c r="Z178" s="15">
        <v>1.4763999999999999</v>
      </c>
    </row>
    <row r="179" spans="1:26" x14ac:dyDescent="0.25">
      <c r="A179" s="22">
        <v>42216</v>
      </c>
      <c r="B179" s="14">
        <v>13539</v>
      </c>
      <c r="D179" s="22">
        <v>42216</v>
      </c>
      <c r="E179" s="15">
        <v>35.003</v>
      </c>
      <c r="G179" s="22">
        <v>42216</v>
      </c>
      <c r="H179" s="15">
        <v>1.3722000000000001</v>
      </c>
      <c r="J179" s="22">
        <v>42216</v>
      </c>
      <c r="K179" s="14">
        <v>21818</v>
      </c>
      <c r="M179" s="22">
        <v>42216</v>
      </c>
      <c r="N179" s="15">
        <v>1.0984</v>
      </c>
      <c r="P179" s="22">
        <v>42216</v>
      </c>
      <c r="Q179" s="15">
        <v>0.96630000000000005</v>
      </c>
      <c r="S179" s="22">
        <v>42216</v>
      </c>
      <c r="T179" s="15">
        <v>1.3090999999999999</v>
      </c>
      <c r="V179" s="22">
        <v>42216</v>
      </c>
      <c r="W179" s="15">
        <v>1.3687</v>
      </c>
      <c r="Y179" s="22">
        <v>42216</v>
      </c>
      <c r="Z179" s="15">
        <v>1.5178</v>
      </c>
    </row>
    <row r="180" spans="1:26" x14ac:dyDescent="0.25">
      <c r="A180" s="22">
        <v>42247</v>
      </c>
      <c r="B180" s="14">
        <v>14067</v>
      </c>
      <c r="D180" s="22">
        <v>42247</v>
      </c>
      <c r="E180" s="15">
        <v>35.85</v>
      </c>
      <c r="G180" s="22">
        <v>42247</v>
      </c>
      <c r="H180" s="15">
        <v>1.4115</v>
      </c>
      <c r="J180" s="22">
        <v>42247</v>
      </c>
      <c r="K180" s="14">
        <v>22482</v>
      </c>
      <c r="M180" s="22">
        <v>42247</v>
      </c>
      <c r="N180" s="15">
        <v>1.1204000000000001</v>
      </c>
      <c r="P180" s="22">
        <v>42247</v>
      </c>
      <c r="Q180" s="15">
        <v>0.96699999999999997</v>
      </c>
      <c r="S180" s="22">
        <v>42247</v>
      </c>
      <c r="T180" s="15">
        <v>1.3210999999999999</v>
      </c>
      <c r="V180" s="22">
        <v>42247</v>
      </c>
      <c r="W180" s="15">
        <v>1.4048</v>
      </c>
      <c r="Y180" s="22">
        <v>42247</v>
      </c>
      <c r="Z180" s="15">
        <v>1.5718000000000001</v>
      </c>
    </row>
    <row r="181" spans="1:26" x14ac:dyDescent="0.25">
      <c r="A181" s="22">
        <v>42277</v>
      </c>
      <c r="B181" s="14">
        <v>14653</v>
      </c>
      <c r="D181" s="22">
        <v>42277</v>
      </c>
      <c r="E181" s="15">
        <v>36.369999999999997</v>
      </c>
      <c r="G181" s="22">
        <v>42277</v>
      </c>
      <c r="H181" s="15">
        <v>1.4239999999999999</v>
      </c>
      <c r="J181" s="22">
        <v>42277</v>
      </c>
      <c r="K181" s="14">
        <v>22478</v>
      </c>
      <c r="M181" s="22">
        <v>42277</v>
      </c>
      <c r="N181" s="15">
        <v>1.1182000000000001</v>
      </c>
      <c r="P181" s="22">
        <v>42277</v>
      </c>
      <c r="Q181" s="15">
        <v>0.97489999999999999</v>
      </c>
      <c r="S181" s="22">
        <v>42277</v>
      </c>
      <c r="T181" s="15">
        <v>1.3396999999999999</v>
      </c>
      <c r="V181" s="22">
        <v>42277</v>
      </c>
      <c r="W181" s="15">
        <v>1.4256</v>
      </c>
      <c r="Y181" s="22">
        <v>42277</v>
      </c>
      <c r="Z181" s="15">
        <v>1.5651999999999999</v>
      </c>
    </row>
    <row r="182" spans="1:26" x14ac:dyDescent="0.25">
      <c r="A182" s="22">
        <v>42307</v>
      </c>
      <c r="B182" s="14">
        <v>13684</v>
      </c>
      <c r="D182" s="22">
        <v>42307</v>
      </c>
      <c r="E182" s="15">
        <v>35.622999999999998</v>
      </c>
      <c r="G182" s="22">
        <v>42307</v>
      </c>
      <c r="H182" s="15">
        <v>1.4012</v>
      </c>
      <c r="J182" s="22">
        <v>42307</v>
      </c>
      <c r="K182" s="14">
        <v>22336</v>
      </c>
      <c r="M182" s="22">
        <v>42307</v>
      </c>
      <c r="N182" s="15">
        <v>1.1006</v>
      </c>
      <c r="P182" s="22">
        <v>42307</v>
      </c>
      <c r="Q182" s="15">
        <v>0.9879</v>
      </c>
      <c r="S182" s="22">
        <v>42307</v>
      </c>
      <c r="T182" s="15">
        <v>1.3080000000000001</v>
      </c>
      <c r="V182" s="22">
        <v>42307</v>
      </c>
      <c r="W182" s="15">
        <v>1.401</v>
      </c>
      <c r="Y182" s="22">
        <v>42307</v>
      </c>
      <c r="Z182" s="15">
        <v>1.4756</v>
      </c>
    </row>
    <row r="183" spans="1:26" x14ac:dyDescent="0.25">
      <c r="A183" s="22">
        <v>42338</v>
      </c>
      <c r="B183" s="14">
        <v>13847</v>
      </c>
      <c r="D183" s="22">
        <v>42338</v>
      </c>
      <c r="E183" s="15">
        <v>35.82</v>
      </c>
      <c r="G183" s="22">
        <v>42338</v>
      </c>
      <c r="H183" s="15">
        <v>1.4104000000000001</v>
      </c>
      <c r="J183" s="22">
        <v>42338</v>
      </c>
      <c r="K183" s="14">
        <v>22500</v>
      </c>
      <c r="M183" s="22">
        <v>42338</v>
      </c>
      <c r="N183" s="15">
        <v>1.056</v>
      </c>
      <c r="P183" s="22">
        <v>42338</v>
      </c>
      <c r="Q183" s="15">
        <v>1.0275000000000001</v>
      </c>
      <c r="S183" s="22">
        <v>42338</v>
      </c>
      <c r="T183" s="15">
        <v>1.3351999999999999</v>
      </c>
      <c r="V183" s="22">
        <v>42338</v>
      </c>
      <c r="W183" s="15">
        <v>1.3825000000000001</v>
      </c>
      <c r="Y183" s="22">
        <v>42338</v>
      </c>
      <c r="Z183" s="15">
        <v>1.5206</v>
      </c>
    </row>
    <row r="184" spans="1:26" x14ac:dyDescent="0.25">
      <c r="A184" s="22">
        <v>42369</v>
      </c>
      <c r="B184" s="14">
        <v>13788</v>
      </c>
      <c r="D184" s="22">
        <v>42369</v>
      </c>
      <c r="E184" s="15">
        <v>36.020000000000003</v>
      </c>
      <c r="G184" s="22">
        <v>42369</v>
      </c>
      <c r="H184" s="15">
        <v>1.4171</v>
      </c>
      <c r="J184" s="22">
        <v>42369</v>
      </c>
      <c r="K184" s="14">
        <v>22485</v>
      </c>
      <c r="M184" s="22">
        <v>42369</v>
      </c>
      <c r="N184" s="15">
        <v>1.0866</v>
      </c>
      <c r="P184" s="22">
        <v>42369</v>
      </c>
      <c r="Q184" s="15">
        <v>0.99980000000000002</v>
      </c>
      <c r="S184" s="22">
        <v>42369</v>
      </c>
      <c r="T184" s="15">
        <v>1.3828</v>
      </c>
      <c r="V184" s="22">
        <v>42369</v>
      </c>
      <c r="W184" s="15">
        <v>1.3714</v>
      </c>
      <c r="Y184" s="22">
        <v>42369</v>
      </c>
      <c r="Z184" s="15">
        <v>1.4617</v>
      </c>
    </row>
    <row r="185" spans="1:26" x14ac:dyDescent="0.25">
      <c r="A185" s="22">
        <v>42398</v>
      </c>
      <c r="B185" s="14">
        <v>13778</v>
      </c>
      <c r="D185" s="22">
        <v>42398</v>
      </c>
      <c r="E185" s="15">
        <v>35.69</v>
      </c>
      <c r="G185" s="22">
        <v>42398</v>
      </c>
      <c r="H185" s="15">
        <v>1.4242999999999999</v>
      </c>
      <c r="J185" s="22">
        <v>42398</v>
      </c>
      <c r="K185" s="14">
        <v>22230</v>
      </c>
      <c r="M185" s="22">
        <v>42398</v>
      </c>
      <c r="N185" s="15">
        <v>1.0831</v>
      </c>
      <c r="P185" s="22">
        <v>42398</v>
      </c>
      <c r="Q185" s="15">
        <v>1.0230999999999999</v>
      </c>
      <c r="S185" s="22">
        <v>42398</v>
      </c>
      <c r="T185" s="15">
        <v>1.3976</v>
      </c>
      <c r="V185" s="22">
        <v>42398</v>
      </c>
      <c r="W185" s="15">
        <v>1.4117</v>
      </c>
      <c r="Y185" s="22">
        <v>42398</v>
      </c>
      <c r="Z185" s="15">
        <v>1.5423</v>
      </c>
    </row>
    <row r="186" spans="1:26" x14ac:dyDescent="0.25">
      <c r="A186" s="22">
        <v>42429</v>
      </c>
      <c r="B186" s="14">
        <v>13375</v>
      </c>
      <c r="D186" s="22">
        <v>42429</v>
      </c>
      <c r="E186" s="15">
        <v>35.634999999999998</v>
      </c>
      <c r="G186" s="22">
        <v>42429</v>
      </c>
      <c r="H186" s="15">
        <v>1.4064000000000001</v>
      </c>
      <c r="J186" s="22">
        <v>42429</v>
      </c>
      <c r="K186" s="14">
        <v>22300</v>
      </c>
      <c r="M186" s="22">
        <v>42429</v>
      </c>
      <c r="N186" s="15">
        <v>1.0874999999999999</v>
      </c>
      <c r="P186" s="22">
        <v>42429</v>
      </c>
      <c r="Q186" s="15">
        <v>0.99660000000000004</v>
      </c>
      <c r="S186" s="22">
        <v>42429</v>
      </c>
      <c r="T186" s="15">
        <v>1.3532999999999999</v>
      </c>
      <c r="V186" s="22">
        <v>42429</v>
      </c>
      <c r="W186" s="15">
        <v>1.3986000000000001</v>
      </c>
      <c r="Y186" s="22">
        <v>42429</v>
      </c>
      <c r="Z186" s="15">
        <v>1.5159</v>
      </c>
    </row>
    <row r="187" spans="1:26" x14ac:dyDescent="0.25">
      <c r="A187" s="22">
        <v>42460</v>
      </c>
      <c r="B187" s="14">
        <v>13239</v>
      </c>
      <c r="D187" s="22">
        <v>42460</v>
      </c>
      <c r="E187" s="15">
        <v>35.119999999999997</v>
      </c>
      <c r="G187" s="22">
        <v>42460</v>
      </c>
      <c r="H187" s="15">
        <v>1.3469</v>
      </c>
      <c r="J187" s="22">
        <v>42460</v>
      </c>
      <c r="K187" s="14">
        <v>22293</v>
      </c>
      <c r="M187" s="22">
        <v>42460</v>
      </c>
      <c r="N187" s="15">
        <v>1.1380999999999999</v>
      </c>
      <c r="P187" s="22">
        <v>42460</v>
      </c>
      <c r="Q187" s="15">
        <v>0.95889999999999997</v>
      </c>
      <c r="S187" s="22">
        <v>42460</v>
      </c>
      <c r="T187" s="15">
        <v>1.2976000000000001</v>
      </c>
      <c r="V187" s="22">
        <v>42460</v>
      </c>
      <c r="W187" s="15">
        <v>1.3036000000000001</v>
      </c>
      <c r="Y187" s="22">
        <v>42460</v>
      </c>
      <c r="Z187" s="15">
        <v>1.4459</v>
      </c>
    </row>
    <row r="188" spans="1:26" x14ac:dyDescent="0.25">
      <c r="A188" s="22">
        <v>42489</v>
      </c>
      <c r="B188" s="14">
        <v>13180</v>
      </c>
      <c r="D188" s="22">
        <v>42489</v>
      </c>
      <c r="E188" s="15">
        <v>34.9</v>
      </c>
      <c r="G188" s="22">
        <v>42489</v>
      </c>
      <c r="H188" s="15">
        <v>1.3442000000000001</v>
      </c>
      <c r="J188" s="22">
        <v>42489</v>
      </c>
      <c r="K188" s="14">
        <v>22288</v>
      </c>
      <c r="M188" s="22">
        <v>42489</v>
      </c>
      <c r="N188" s="15">
        <v>1.1451</v>
      </c>
      <c r="P188" s="22">
        <v>42489</v>
      </c>
      <c r="Q188" s="15">
        <v>0.95989999999999998</v>
      </c>
      <c r="S188" s="22">
        <v>42489</v>
      </c>
      <c r="T188" s="15">
        <v>1.2556</v>
      </c>
      <c r="V188" s="22">
        <v>42489</v>
      </c>
      <c r="W188" s="15">
        <v>1.3148</v>
      </c>
      <c r="Y188" s="22">
        <v>42489</v>
      </c>
      <c r="Z188" s="15">
        <v>1.4331</v>
      </c>
    </row>
    <row r="189" spans="1:26" x14ac:dyDescent="0.25">
      <c r="A189" s="22">
        <v>42521</v>
      </c>
      <c r="B189" s="14">
        <v>13648</v>
      </c>
      <c r="D189" s="22">
        <v>42521</v>
      </c>
      <c r="E189" s="15">
        <v>35.729999999999997</v>
      </c>
      <c r="G189" s="22">
        <v>42521</v>
      </c>
      <c r="H189" s="15">
        <v>1.3766</v>
      </c>
      <c r="J189" s="22">
        <v>42521</v>
      </c>
      <c r="K189" s="14">
        <v>22390</v>
      </c>
      <c r="M189" s="22">
        <v>42521</v>
      </c>
      <c r="N189" s="15">
        <v>1.1138999999999999</v>
      </c>
      <c r="P189" s="22">
        <v>42521</v>
      </c>
      <c r="Q189" s="15">
        <v>0.99309999999999998</v>
      </c>
      <c r="S189" s="22">
        <v>42521</v>
      </c>
      <c r="T189" s="15">
        <v>1.3098000000000001</v>
      </c>
      <c r="V189" s="22">
        <v>42521</v>
      </c>
      <c r="W189" s="15">
        <v>1.3824000000000001</v>
      </c>
      <c r="Y189" s="22">
        <v>42521</v>
      </c>
      <c r="Z189" s="15">
        <v>1.4792000000000001</v>
      </c>
    </row>
    <row r="190" spans="1:26" x14ac:dyDescent="0.25">
      <c r="A190" s="22">
        <v>42551</v>
      </c>
      <c r="B190" s="14">
        <v>13210</v>
      </c>
      <c r="D190" s="22">
        <v>42551</v>
      </c>
      <c r="E190" s="15">
        <v>35.139000000000003</v>
      </c>
      <c r="G190" s="22">
        <v>42551</v>
      </c>
      <c r="H190" s="15">
        <v>1.3491</v>
      </c>
      <c r="J190" s="22">
        <v>42551</v>
      </c>
      <c r="K190" s="14">
        <v>22304</v>
      </c>
      <c r="M190" s="22">
        <v>42551</v>
      </c>
      <c r="N190" s="15">
        <v>1.1073</v>
      </c>
      <c r="P190" s="22">
        <v>42551</v>
      </c>
      <c r="Q190" s="15">
        <v>0.97729999999999995</v>
      </c>
      <c r="S190" s="22">
        <v>42551</v>
      </c>
      <c r="T190" s="15">
        <v>1.2979000000000001</v>
      </c>
      <c r="V190" s="22">
        <v>42551</v>
      </c>
      <c r="W190" s="15">
        <v>1.3428</v>
      </c>
      <c r="Y190" s="22">
        <v>42551</v>
      </c>
      <c r="Z190" s="15">
        <v>1.4038999999999999</v>
      </c>
    </row>
    <row r="191" spans="1:26" x14ac:dyDescent="0.25">
      <c r="A191" s="22">
        <v>42580</v>
      </c>
      <c r="B191" s="14">
        <v>13112</v>
      </c>
      <c r="D191" s="22">
        <v>42580</v>
      </c>
      <c r="E191" s="15">
        <v>34.777000000000001</v>
      </c>
      <c r="G191" s="22">
        <v>42580</v>
      </c>
      <c r="H191" s="15">
        <v>1.3396999999999999</v>
      </c>
      <c r="J191" s="22">
        <v>42580</v>
      </c>
      <c r="K191" s="14">
        <v>22299</v>
      </c>
      <c r="M191" s="22">
        <v>42580</v>
      </c>
      <c r="N191" s="15">
        <v>1.1173999999999999</v>
      </c>
      <c r="P191" s="22">
        <v>42580</v>
      </c>
      <c r="Q191" s="15">
        <v>0.96950000000000003</v>
      </c>
      <c r="S191" s="22">
        <v>42580</v>
      </c>
      <c r="T191" s="15">
        <v>1.3029999999999999</v>
      </c>
      <c r="V191" s="22">
        <v>42580</v>
      </c>
      <c r="W191" s="15">
        <v>1.3161</v>
      </c>
      <c r="Y191" s="22">
        <v>42580</v>
      </c>
      <c r="Z191" s="15">
        <v>1.3872</v>
      </c>
    </row>
    <row r="192" spans="1:26" x14ac:dyDescent="0.25">
      <c r="A192" s="22">
        <v>42613</v>
      </c>
      <c r="B192" s="14">
        <v>13270</v>
      </c>
      <c r="D192" s="22">
        <v>42613</v>
      </c>
      <c r="E192" s="15">
        <v>34.619999999999997</v>
      </c>
      <c r="G192" s="22">
        <v>42613</v>
      </c>
      <c r="H192" s="15">
        <v>1.3616999999999999</v>
      </c>
      <c r="J192" s="22">
        <v>42613</v>
      </c>
      <c r="K192" s="14">
        <v>22305</v>
      </c>
      <c r="M192" s="22">
        <v>42613</v>
      </c>
      <c r="N192" s="15">
        <v>1.1157999999999999</v>
      </c>
      <c r="P192" s="22">
        <v>42613</v>
      </c>
      <c r="Q192" s="15">
        <v>0.98260000000000003</v>
      </c>
      <c r="S192" s="22">
        <v>42613</v>
      </c>
      <c r="T192" s="15">
        <v>1.3126</v>
      </c>
      <c r="V192" s="22">
        <v>42613</v>
      </c>
      <c r="W192" s="15">
        <v>1.3295999999999999</v>
      </c>
      <c r="Y192" s="22">
        <v>42613</v>
      </c>
      <c r="Z192" s="15">
        <v>1.3776999999999999</v>
      </c>
    </row>
    <row r="193" spans="1:26" x14ac:dyDescent="0.25">
      <c r="A193" s="22">
        <v>42643</v>
      </c>
      <c r="B193" s="14">
        <v>13042</v>
      </c>
      <c r="D193" s="22">
        <v>42643</v>
      </c>
      <c r="E193" s="15">
        <v>34.590000000000003</v>
      </c>
      <c r="G193" s="22">
        <v>42643</v>
      </c>
      <c r="H193" s="15">
        <v>1.3631</v>
      </c>
      <c r="J193" s="22">
        <v>42643</v>
      </c>
      <c r="K193" s="14">
        <v>22296</v>
      </c>
      <c r="M193" s="22">
        <v>42643</v>
      </c>
      <c r="N193" s="15">
        <v>1.1234999999999999</v>
      </c>
      <c r="P193" s="22">
        <v>42643</v>
      </c>
      <c r="Q193" s="15">
        <v>0.97140000000000004</v>
      </c>
      <c r="S193" s="22">
        <v>42643</v>
      </c>
      <c r="T193" s="15">
        <v>1.3127</v>
      </c>
      <c r="V193" s="22">
        <v>42643</v>
      </c>
      <c r="W193" s="15">
        <v>1.3055000000000001</v>
      </c>
      <c r="Y193" s="22">
        <v>42643</v>
      </c>
      <c r="Z193" s="15">
        <v>1.3728</v>
      </c>
    </row>
    <row r="194" spans="1:26" x14ac:dyDescent="0.25">
      <c r="A194" s="22">
        <v>42674</v>
      </c>
      <c r="B194" s="14">
        <v>13048</v>
      </c>
      <c r="D194" s="22">
        <v>42674</v>
      </c>
      <c r="E194" s="15">
        <v>35.036000000000001</v>
      </c>
      <c r="G194" s="22">
        <v>42674</v>
      </c>
      <c r="H194" s="15">
        <v>1.3916999999999999</v>
      </c>
      <c r="J194" s="22">
        <v>42674</v>
      </c>
      <c r="K194" s="14">
        <v>22324</v>
      </c>
      <c r="M194" s="22">
        <v>42674</v>
      </c>
      <c r="N194" s="15">
        <v>1.0963000000000001</v>
      </c>
      <c r="P194" s="22">
        <v>42674</v>
      </c>
      <c r="Q194" s="15">
        <v>0.99019999999999997</v>
      </c>
      <c r="S194" s="22">
        <v>42674</v>
      </c>
      <c r="T194" s="15">
        <v>1.3405</v>
      </c>
      <c r="V194" s="22">
        <v>42674</v>
      </c>
      <c r="W194" s="15">
        <v>1.3144</v>
      </c>
      <c r="Y194" s="22">
        <v>42674</v>
      </c>
      <c r="Z194" s="15">
        <v>1.3986000000000001</v>
      </c>
    </row>
    <row r="195" spans="1:26" x14ac:dyDescent="0.25">
      <c r="A195" s="22">
        <v>42704</v>
      </c>
      <c r="B195" s="14">
        <v>13555</v>
      </c>
      <c r="D195" s="22">
        <v>42704</v>
      </c>
      <c r="E195" s="15">
        <v>35.71</v>
      </c>
      <c r="G195" s="22">
        <v>42704</v>
      </c>
      <c r="H195" s="15">
        <v>1.4331</v>
      </c>
      <c r="J195" s="22">
        <v>42704</v>
      </c>
      <c r="K195" s="14">
        <v>22666</v>
      </c>
      <c r="M195" s="22">
        <v>42704</v>
      </c>
      <c r="N195" s="15">
        <v>1.0599000000000001</v>
      </c>
      <c r="P195" s="22">
        <v>42704</v>
      </c>
      <c r="Q195" s="15">
        <v>1.0179</v>
      </c>
      <c r="S195" s="22">
        <v>42704</v>
      </c>
      <c r="T195" s="15">
        <v>1.3409</v>
      </c>
      <c r="V195" s="22">
        <v>42704</v>
      </c>
      <c r="W195" s="15">
        <v>1.3525</v>
      </c>
      <c r="Y195" s="22">
        <v>42704</v>
      </c>
      <c r="Z195" s="15">
        <v>1.4119999999999999</v>
      </c>
    </row>
    <row r="196" spans="1:26" x14ac:dyDescent="0.25">
      <c r="A196" s="22">
        <v>42734</v>
      </c>
      <c r="B196" s="14">
        <v>13473</v>
      </c>
      <c r="D196" s="22">
        <v>42734</v>
      </c>
      <c r="E196" s="15">
        <v>35.835000000000001</v>
      </c>
      <c r="G196" s="22">
        <v>42734</v>
      </c>
      <c r="H196" s="15">
        <v>1.4468000000000001</v>
      </c>
      <c r="J196" s="22">
        <v>42734</v>
      </c>
      <c r="K196" s="14">
        <v>22761</v>
      </c>
      <c r="M196" s="22">
        <v>42734</v>
      </c>
      <c r="N196" s="15">
        <v>1.0517000000000001</v>
      </c>
      <c r="P196" s="22">
        <v>42734</v>
      </c>
      <c r="Q196" s="15">
        <v>1.0189999999999999</v>
      </c>
      <c r="S196" s="22">
        <v>42734</v>
      </c>
      <c r="T196" s="15">
        <v>1.3441000000000001</v>
      </c>
      <c r="V196" s="22">
        <v>42734</v>
      </c>
      <c r="W196" s="15">
        <v>1.3887</v>
      </c>
      <c r="Y196" s="22">
        <v>42734</v>
      </c>
      <c r="Z196" s="15">
        <v>1.4431</v>
      </c>
    </row>
    <row r="197" spans="1:26" x14ac:dyDescent="0.25">
      <c r="A197" s="22">
        <v>42766</v>
      </c>
      <c r="B197" s="14">
        <v>13369</v>
      </c>
      <c r="D197" s="22">
        <v>42766</v>
      </c>
      <c r="E197" s="15">
        <v>35.125</v>
      </c>
      <c r="G197" s="22">
        <v>42766</v>
      </c>
      <c r="H197" s="15">
        <v>1.4105000000000001</v>
      </c>
      <c r="J197" s="22">
        <v>42766</v>
      </c>
      <c r="K197" s="14">
        <v>22593</v>
      </c>
      <c r="M197" s="22">
        <v>42766</v>
      </c>
      <c r="N197" s="15">
        <v>1.0784</v>
      </c>
      <c r="P197" s="22">
        <v>42766</v>
      </c>
      <c r="Q197" s="15">
        <v>0.99060000000000004</v>
      </c>
      <c r="S197" s="22">
        <v>42766</v>
      </c>
      <c r="T197" s="15">
        <v>1.3038000000000001</v>
      </c>
      <c r="V197" s="22">
        <v>42766</v>
      </c>
      <c r="W197" s="15">
        <v>1.321</v>
      </c>
      <c r="Y197" s="22">
        <v>42766</v>
      </c>
      <c r="Z197" s="15">
        <v>1.3653999999999999</v>
      </c>
    </row>
    <row r="198" spans="1:26" x14ac:dyDescent="0.25">
      <c r="A198" s="22">
        <v>42794</v>
      </c>
      <c r="B198" s="14">
        <v>13338</v>
      </c>
      <c r="D198" s="22">
        <v>42794</v>
      </c>
      <c r="E198" s="15">
        <v>34.905999999999999</v>
      </c>
      <c r="G198" s="22">
        <v>42794</v>
      </c>
      <c r="H198" s="15">
        <v>1.3989</v>
      </c>
      <c r="J198" s="22">
        <v>42794</v>
      </c>
      <c r="K198" s="14">
        <v>22764</v>
      </c>
      <c r="M198" s="22">
        <v>42794</v>
      </c>
      <c r="N198" s="15">
        <v>1.0607</v>
      </c>
      <c r="P198" s="22">
        <v>42794</v>
      </c>
      <c r="Q198" s="15">
        <v>1.0031000000000001</v>
      </c>
      <c r="S198" s="22">
        <v>42794</v>
      </c>
      <c r="T198" s="15">
        <v>1.3278000000000001</v>
      </c>
      <c r="V198" s="22">
        <v>42794</v>
      </c>
      <c r="W198" s="15">
        <v>1.3023</v>
      </c>
      <c r="Y198" s="22">
        <v>42794</v>
      </c>
      <c r="Z198" s="15">
        <v>1.3835</v>
      </c>
    </row>
    <row r="199" spans="1:26" x14ac:dyDescent="0.25">
      <c r="A199" s="22">
        <v>42825</v>
      </c>
      <c r="B199" s="14">
        <v>13322</v>
      </c>
      <c r="D199" s="22">
        <v>42825</v>
      </c>
      <c r="E199" s="15">
        <v>34.353000000000002</v>
      </c>
      <c r="G199" s="22">
        <v>42825</v>
      </c>
      <c r="H199" s="15">
        <v>1.3971</v>
      </c>
      <c r="J199" s="22">
        <v>42825</v>
      </c>
      <c r="K199" s="14">
        <v>22755</v>
      </c>
      <c r="M199" s="22">
        <v>42825</v>
      </c>
      <c r="N199" s="15">
        <v>1.0651999999999999</v>
      </c>
      <c r="P199" s="22">
        <v>42825</v>
      </c>
      <c r="Q199" s="15">
        <v>1.0025999999999999</v>
      </c>
      <c r="S199" s="22">
        <v>42825</v>
      </c>
      <c r="T199" s="15">
        <v>1.3318000000000001</v>
      </c>
      <c r="V199" s="22">
        <v>42825</v>
      </c>
      <c r="W199" s="15">
        <v>1.3108</v>
      </c>
      <c r="Y199" s="22">
        <v>42825</v>
      </c>
      <c r="Z199" s="15">
        <v>1.4276</v>
      </c>
    </row>
    <row r="200" spans="1:26" x14ac:dyDescent="0.25">
      <c r="A200" s="22">
        <v>42853</v>
      </c>
      <c r="B200" s="14">
        <v>13329</v>
      </c>
      <c r="D200" s="22">
        <v>42853</v>
      </c>
      <c r="E200" s="15">
        <v>34.591000000000001</v>
      </c>
      <c r="G200" s="22">
        <v>42853</v>
      </c>
      <c r="H200" s="15">
        <v>1.397</v>
      </c>
      <c r="J200" s="22">
        <v>42853</v>
      </c>
      <c r="K200" s="14">
        <v>22744</v>
      </c>
      <c r="M200" s="22">
        <v>42853</v>
      </c>
      <c r="N200" s="15">
        <v>1.0894999999999999</v>
      </c>
      <c r="P200" s="22">
        <v>42853</v>
      </c>
      <c r="Q200" s="15">
        <v>0.99460000000000004</v>
      </c>
      <c r="S200" s="22">
        <v>42853</v>
      </c>
      <c r="T200" s="15">
        <v>1.3653</v>
      </c>
      <c r="V200" s="22">
        <v>42853</v>
      </c>
      <c r="W200" s="15">
        <v>1.3352999999999999</v>
      </c>
      <c r="Y200" s="22">
        <v>42853</v>
      </c>
      <c r="Z200" s="15">
        <v>1.4561999999999999</v>
      </c>
    </row>
    <row r="201" spans="1:26" x14ac:dyDescent="0.25">
      <c r="A201" s="22">
        <v>42886</v>
      </c>
      <c r="B201" s="14">
        <v>13323</v>
      </c>
      <c r="D201" s="22">
        <v>42886</v>
      </c>
      <c r="E201" s="15">
        <v>34.045000000000002</v>
      </c>
      <c r="G201" s="22">
        <v>42886</v>
      </c>
      <c r="H201" s="15">
        <v>1.3832</v>
      </c>
      <c r="J201" s="22">
        <v>42886</v>
      </c>
      <c r="K201" s="14">
        <v>22715</v>
      </c>
      <c r="M201" s="22">
        <v>42886</v>
      </c>
      <c r="N201" s="15">
        <v>1.1236999999999999</v>
      </c>
      <c r="P201" s="22">
        <v>42886</v>
      </c>
      <c r="Q201" s="15">
        <v>0.96809999999999996</v>
      </c>
      <c r="S201" s="22">
        <v>42886</v>
      </c>
      <c r="T201" s="15">
        <v>1.3513999999999999</v>
      </c>
      <c r="V201" s="22">
        <v>42886</v>
      </c>
      <c r="W201" s="15">
        <v>1.3448</v>
      </c>
      <c r="Y201" s="22">
        <v>42886</v>
      </c>
      <c r="Z201" s="15">
        <v>1.409</v>
      </c>
    </row>
    <row r="202" spans="1:26" x14ac:dyDescent="0.25">
      <c r="A202" s="22">
        <v>42916</v>
      </c>
      <c r="B202" s="14">
        <v>13348</v>
      </c>
      <c r="D202" s="22">
        <v>42916</v>
      </c>
      <c r="E202" s="15">
        <v>33.933</v>
      </c>
      <c r="G202" s="22">
        <v>42916</v>
      </c>
      <c r="H202" s="15">
        <v>1.3762000000000001</v>
      </c>
      <c r="J202" s="22">
        <v>42916</v>
      </c>
      <c r="K202" s="14">
        <v>22731</v>
      </c>
      <c r="M202" s="22">
        <v>42916</v>
      </c>
      <c r="N202" s="15">
        <v>1.1426000000000001</v>
      </c>
      <c r="P202" s="22">
        <v>42916</v>
      </c>
      <c r="Q202" s="15">
        <v>0.95789999999999997</v>
      </c>
      <c r="S202" s="22">
        <v>42916</v>
      </c>
      <c r="T202" s="15">
        <v>1.2964</v>
      </c>
      <c r="V202" s="22">
        <v>42916</v>
      </c>
      <c r="W202" s="15">
        <v>1.3007</v>
      </c>
      <c r="Y202" s="22">
        <v>42916</v>
      </c>
      <c r="Z202" s="15">
        <v>1.3631</v>
      </c>
    </row>
    <row r="203" spans="1:26" x14ac:dyDescent="0.25">
      <c r="A203" s="22">
        <v>42947</v>
      </c>
      <c r="B203" s="14">
        <v>13325</v>
      </c>
      <c r="D203" s="22">
        <v>42947</v>
      </c>
      <c r="E203" s="15">
        <v>33.298000000000002</v>
      </c>
      <c r="G203" s="22">
        <v>42947</v>
      </c>
      <c r="H203" s="15">
        <v>1.3565</v>
      </c>
      <c r="J203" s="22">
        <v>42947</v>
      </c>
      <c r="K203" s="14">
        <v>22735</v>
      </c>
      <c r="M203" s="22">
        <v>42947</v>
      </c>
      <c r="N203" s="15">
        <v>1.1811</v>
      </c>
      <c r="P203" s="22">
        <v>42947</v>
      </c>
      <c r="Q203" s="15">
        <v>0.96660000000000001</v>
      </c>
      <c r="S203" s="22">
        <v>42947</v>
      </c>
      <c r="T203" s="15">
        <v>1.2487999999999999</v>
      </c>
      <c r="V203" s="22">
        <v>42947</v>
      </c>
      <c r="W203" s="15">
        <v>1.2531000000000001</v>
      </c>
      <c r="Y203" s="22">
        <v>42947</v>
      </c>
      <c r="Z203" s="15">
        <v>1.3344</v>
      </c>
    </row>
    <row r="204" spans="1:26" x14ac:dyDescent="0.25">
      <c r="A204" s="22">
        <v>42978</v>
      </c>
      <c r="B204" s="14">
        <v>13342</v>
      </c>
      <c r="D204" s="22">
        <v>42978</v>
      </c>
      <c r="E204" s="15">
        <v>33.183999999999997</v>
      </c>
      <c r="G204" s="22">
        <v>42978</v>
      </c>
      <c r="H204" s="15">
        <v>1.3573999999999999</v>
      </c>
      <c r="J204" s="22">
        <v>42978</v>
      </c>
      <c r="K204" s="14">
        <v>22728</v>
      </c>
      <c r="M204" s="22">
        <v>42978</v>
      </c>
      <c r="N204" s="15">
        <v>1.1880999999999999</v>
      </c>
      <c r="P204" s="22">
        <v>42978</v>
      </c>
      <c r="Q204" s="15">
        <v>0.96179999999999999</v>
      </c>
      <c r="S204" s="22">
        <v>42978</v>
      </c>
      <c r="T204" s="15">
        <v>1.2525999999999999</v>
      </c>
      <c r="V204" s="22">
        <v>42978</v>
      </c>
      <c r="W204" s="15">
        <v>1.2614000000000001</v>
      </c>
      <c r="Y204" s="22">
        <v>42978</v>
      </c>
      <c r="Z204" s="15">
        <v>1.3957999999999999</v>
      </c>
    </row>
    <row r="205" spans="1:26" x14ac:dyDescent="0.25">
      <c r="A205" s="22">
        <v>43007</v>
      </c>
      <c r="B205" s="14">
        <v>13472</v>
      </c>
      <c r="D205" s="22">
        <v>43007</v>
      </c>
      <c r="E205" s="15">
        <v>33.314</v>
      </c>
      <c r="G205" s="22">
        <v>43007</v>
      </c>
      <c r="H205" s="15">
        <v>1.3575999999999999</v>
      </c>
      <c r="J205" s="22">
        <v>43007</v>
      </c>
      <c r="K205" s="14">
        <v>22730</v>
      </c>
      <c r="M205" s="22">
        <v>43007</v>
      </c>
      <c r="N205" s="15">
        <v>1.1814</v>
      </c>
      <c r="P205" s="22">
        <v>43007</v>
      </c>
      <c r="Q205" s="15">
        <v>0.96830000000000005</v>
      </c>
      <c r="S205" s="22">
        <v>43007</v>
      </c>
      <c r="T205" s="15">
        <v>1.2472000000000001</v>
      </c>
      <c r="V205" s="22">
        <v>43007</v>
      </c>
      <c r="W205" s="15">
        <v>1.2765</v>
      </c>
      <c r="Y205" s="22">
        <v>43007</v>
      </c>
      <c r="Z205" s="15">
        <v>1.3867</v>
      </c>
    </row>
    <row r="206" spans="1:26" x14ac:dyDescent="0.25">
      <c r="A206" s="22">
        <v>43039</v>
      </c>
      <c r="B206" s="14">
        <v>13563</v>
      </c>
      <c r="D206" s="22">
        <v>43039</v>
      </c>
      <c r="E206" s="15">
        <v>33.222000000000001</v>
      </c>
      <c r="G206" s="22">
        <v>43039</v>
      </c>
      <c r="H206" s="15">
        <v>1.3625</v>
      </c>
      <c r="J206" s="22">
        <v>43039</v>
      </c>
      <c r="K206" s="14">
        <v>22710</v>
      </c>
      <c r="M206" s="22">
        <v>43039</v>
      </c>
      <c r="N206" s="15">
        <v>1.1647000000000001</v>
      </c>
      <c r="P206" s="22">
        <v>43039</v>
      </c>
      <c r="Q206" s="15">
        <v>0.99660000000000004</v>
      </c>
      <c r="S206" s="22">
        <v>43039</v>
      </c>
      <c r="T206" s="15">
        <v>1.2898000000000001</v>
      </c>
      <c r="V206" s="22">
        <v>43039</v>
      </c>
      <c r="W206" s="15">
        <v>1.3052999999999999</v>
      </c>
      <c r="Y206" s="22">
        <v>43039</v>
      </c>
      <c r="Z206" s="15">
        <v>1.4617</v>
      </c>
    </row>
    <row r="207" spans="1:26" x14ac:dyDescent="0.25">
      <c r="A207" s="22">
        <v>43069</v>
      </c>
      <c r="B207" s="14">
        <v>13526</v>
      </c>
      <c r="D207" s="22">
        <v>43069</v>
      </c>
      <c r="E207" s="15">
        <v>32.619999999999997</v>
      </c>
      <c r="G207" s="22">
        <v>43069</v>
      </c>
      <c r="H207" s="15">
        <v>1.3488</v>
      </c>
      <c r="J207" s="22">
        <v>43069</v>
      </c>
      <c r="K207" s="14">
        <v>22718</v>
      </c>
      <c r="M207" s="22">
        <v>43069</v>
      </c>
      <c r="N207" s="15">
        <v>1.1892</v>
      </c>
      <c r="P207" s="22">
        <v>43069</v>
      </c>
      <c r="Q207" s="15">
        <v>0.98419999999999996</v>
      </c>
      <c r="S207" s="22">
        <v>43069</v>
      </c>
      <c r="T207" s="15">
        <v>1.2901</v>
      </c>
      <c r="V207" s="22">
        <v>43069</v>
      </c>
      <c r="W207" s="15">
        <v>1.3223</v>
      </c>
      <c r="Y207" s="22">
        <v>43069</v>
      </c>
      <c r="Z207" s="15">
        <v>1.4617</v>
      </c>
    </row>
    <row r="208" spans="1:26" x14ac:dyDescent="0.25">
      <c r="A208" s="22">
        <v>43098</v>
      </c>
      <c r="B208" s="14">
        <v>13555</v>
      </c>
      <c r="D208" s="22">
        <v>43098</v>
      </c>
      <c r="E208" s="15">
        <v>32.573999999999998</v>
      </c>
      <c r="G208" s="22">
        <v>43098</v>
      </c>
      <c r="H208" s="15">
        <v>1.3360000000000001</v>
      </c>
      <c r="J208" s="22">
        <v>43098</v>
      </c>
      <c r="K208" s="14">
        <v>22698</v>
      </c>
      <c r="M208" s="22">
        <v>43098</v>
      </c>
      <c r="N208" s="15">
        <v>1.2004999999999999</v>
      </c>
      <c r="P208" s="22">
        <v>43098</v>
      </c>
      <c r="Q208" s="15">
        <v>0.97430000000000005</v>
      </c>
      <c r="S208" s="22">
        <v>43098</v>
      </c>
      <c r="T208" s="15">
        <v>1.2571000000000001</v>
      </c>
      <c r="V208" s="22">
        <v>43098</v>
      </c>
      <c r="W208" s="15">
        <v>1.2809999999999999</v>
      </c>
      <c r="Y208" s="22">
        <v>43098</v>
      </c>
      <c r="Z208" s="15">
        <v>1.4086000000000001</v>
      </c>
    </row>
    <row r="209" spans="1:26" x14ac:dyDescent="0.25">
      <c r="A209" s="22">
        <v>43131</v>
      </c>
      <c r="B209" s="14">
        <v>13386</v>
      </c>
      <c r="D209" s="22">
        <v>43131</v>
      </c>
      <c r="E209" s="15">
        <v>31.347000000000001</v>
      </c>
      <c r="G209" s="22">
        <v>43131</v>
      </c>
      <c r="H209" s="15">
        <v>1.3117000000000001</v>
      </c>
      <c r="J209" s="22">
        <v>43131</v>
      </c>
      <c r="K209" s="14">
        <v>22705</v>
      </c>
      <c r="M209" s="22">
        <v>43131</v>
      </c>
      <c r="N209" s="15">
        <v>1.2415</v>
      </c>
      <c r="P209" s="22">
        <v>43131</v>
      </c>
      <c r="Q209" s="15">
        <v>0.93279999999999996</v>
      </c>
      <c r="S209" s="22">
        <v>43131</v>
      </c>
      <c r="T209" s="15">
        <v>1.2317</v>
      </c>
      <c r="V209" s="22">
        <v>43131</v>
      </c>
      <c r="W209" s="15">
        <v>1.2418</v>
      </c>
      <c r="Y209" s="22">
        <v>43131</v>
      </c>
      <c r="Z209" s="15">
        <v>1.3577999999999999</v>
      </c>
    </row>
    <row r="210" spans="1:26" x14ac:dyDescent="0.25">
      <c r="A210" s="22">
        <v>43159</v>
      </c>
      <c r="B210" s="14">
        <v>13751</v>
      </c>
      <c r="D210" s="22">
        <v>43159</v>
      </c>
      <c r="E210" s="15">
        <v>31.471</v>
      </c>
      <c r="G210" s="22">
        <v>43159</v>
      </c>
      <c r="H210" s="15">
        <v>1.3231999999999999</v>
      </c>
      <c r="J210" s="22">
        <v>43159</v>
      </c>
      <c r="K210" s="14">
        <v>22759</v>
      </c>
      <c r="M210" s="22">
        <v>43159</v>
      </c>
      <c r="N210" s="15">
        <v>1.2209000000000001</v>
      </c>
      <c r="P210" s="22">
        <v>43159</v>
      </c>
      <c r="Q210" s="15">
        <v>0.94430000000000003</v>
      </c>
      <c r="S210" s="22">
        <v>43159</v>
      </c>
      <c r="T210" s="15">
        <v>1.2811999999999999</v>
      </c>
      <c r="V210" s="22">
        <v>43159</v>
      </c>
      <c r="W210" s="15">
        <v>1.2834000000000001</v>
      </c>
      <c r="Y210" s="22">
        <v>43159</v>
      </c>
      <c r="Z210" s="15">
        <v>1.3857999999999999</v>
      </c>
    </row>
    <row r="211" spans="1:26" x14ac:dyDescent="0.25">
      <c r="A211" s="22">
        <v>43189</v>
      </c>
      <c r="B211" s="14">
        <v>13728</v>
      </c>
      <c r="D211" s="22">
        <v>43189</v>
      </c>
      <c r="E211" s="15">
        <v>31.181000000000001</v>
      </c>
      <c r="G211" s="22">
        <v>43189</v>
      </c>
      <c r="H211" s="15">
        <v>1.3115000000000001</v>
      </c>
      <c r="J211" s="22">
        <v>43189</v>
      </c>
      <c r="K211" s="14">
        <v>22794</v>
      </c>
      <c r="M211" s="22">
        <v>43189</v>
      </c>
      <c r="N211" s="15">
        <v>1.2323999999999999</v>
      </c>
      <c r="P211" s="22">
        <v>43189</v>
      </c>
      <c r="Q211" s="15">
        <v>0.95399999999999996</v>
      </c>
      <c r="S211" s="22">
        <v>43189</v>
      </c>
      <c r="T211" s="15">
        <v>1.29</v>
      </c>
      <c r="V211" s="22">
        <v>43189</v>
      </c>
      <c r="W211" s="15">
        <v>1.3010999999999999</v>
      </c>
      <c r="Y211" s="22">
        <v>43189</v>
      </c>
      <c r="Z211" s="15">
        <v>1.3811</v>
      </c>
    </row>
    <row r="212" spans="1:26" x14ac:dyDescent="0.25">
      <c r="A212" s="22">
        <v>43220</v>
      </c>
      <c r="B212" s="14">
        <v>13913</v>
      </c>
      <c r="D212" s="22">
        <v>43220</v>
      </c>
      <c r="E212" s="15">
        <v>31.571999999999999</v>
      </c>
      <c r="G212" s="22">
        <v>43220</v>
      </c>
      <c r="H212" s="15">
        <v>1.3237000000000001</v>
      </c>
      <c r="J212" s="22">
        <v>43220</v>
      </c>
      <c r="K212" s="14">
        <v>22760</v>
      </c>
      <c r="M212" s="22">
        <v>43220</v>
      </c>
      <c r="N212" s="15">
        <v>1.2101</v>
      </c>
      <c r="P212" s="22">
        <v>43220</v>
      </c>
      <c r="Q212" s="15">
        <v>0.98939999999999995</v>
      </c>
      <c r="S212" s="22">
        <v>43220</v>
      </c>
      <c r="T212" s="15">
        <v>1.2825</v>
      </c>
      <c r="V212" s="22">
        <v>43220</v>
      </c>
      <c r="W212" s="15">
        <v>1.3250999999999999</v>
      </c>
      <c r="Y212" s="22">
        <v>43220</v>
      </c>
      <c r="Z212" s="15">
        <v>1.4180999999999999</v>
      </c>
    </row>
    <row r="213" spans="1:26" x14ac:dyDescent="0.25">
      <c r="A213" s="22">
        <v>43251</v>
      </c>
      <c r="B213" s="14">
        <v>13896</v>
      </c>
      <c r="D213" s="22">
        <v>43251</v>
      </c>
      <c r="E213" s="15">
        <v>32.064999999999998</v>
      </c>
      <c r="G213" s="22">
        <v>43251</v>
      </c>
      <c r="H213" s="15">
        <v>1.3391999999999999</v>
      </c>
      <c r="J213" s="22">
        <v>43251</v>
      </c>
      <c r="K213" s="14">
        <v>22804</v>
      </c>
      <c r="M213" s="22">
        <v>43251</v>
      </c>
      <c r="N213" s="15">
        <v>1.1671</v>
      </c>
      <c r="P213" s="22">
        <v>43251</v>
      </c>
      <c r="Q213" s="15">
        <v>0.98460000000000003</v>
      </c>
      <c r="S213" s="22">
        <v>43251</v>
      </c>
      <c r="T213" s="15">
        <v>1.2956000000000001</v>
      </c>
      <c r="V213" s="22">
        <v>43251</v>
      </c>
      <c r="W213" s="15">
        <v>1.3221000000000001</v>
      </c>
      <c r="Y213" s="22">
        <v>43251</v>
      </c>
      <c r="Z213" s="15">
        <v>1.4288000000000001</v>
      </c>
    </row>
    <row r="214" spans="1:26" x14ac:dyDescent="0.25">
      <c r="A214" s="22">
        <v>43280</v>
      </c>
      <c r="B214" s="14">
        <v>14330</v>
      </c>
      <c r="D214" s="22">
        <v>43280</v>
      </c>
      <c r="E214" s="15">
        <v>33.036999999999999</v>
      </c>
      <c r="G214" s="22">
        <v>43280</v>
      </c>
      <c r="H214" s="15">
        <v>1.3624000000000001</v>
      </c>
      <c r="J214" s="22">
        <v>43280</v>
      </c>
      <c r="K214" s="14">
        <v>22938</v>
      </c>
      <c r="M214" s="22">
        <v>43280</v>
      </c>
      <c r="N214" s="15">
        <v>1.1684000000000001</v>
      </c>
      <c r="P214" s="22">
        <v>43280</v>
      </c>
      <c r="Q214" s="15">
        <v>0.99060000000000004</v>
      </c>
      <c r="S214" s="22">
        <v>43280</v>
      </c>
      <c r="T214" s="15">
        <v>1.3132999999999999</v>
      </c>
      <c r="V214" s="22">
        <v>43280</v>
      </c>
      <c r="W214" s="15">
        <v>1.3503000000000001</v>
      </c>
      <c r="Y214" s="22">
        <v>43280</v>
      </c>
      <c r="Z214" s="15">
        <v>1.476</v>
      </c>
    </row>
    <row r="215" spans="1:26" x14ac:dyDescent="0.25">
      <c r="A215" s="22">
        <v>43312</v>
      </c>
      <c r="B215" s="14">
        <v>14414</v>
      </c>
      <c r="D215" s="22">
        <v>43312</v>
      </c>
      <c r="E215" s="15">
        <v>33.173000000000002</v>
      </c>
      <c r="G215" s="22">
        <v>43312</v>
      </c>
      <c r="H215" s="15">
        <v>1.3607</v>
      </c>
      <c r="J215" s="22">
        <v>43312</v>
      </c>
      <c r="K215" s="14">
        <v>23283</v>
      </c>
      <c r="M215" s="22">
        <v>43312</v>
      </c>
      <c r="N215" s="15">
        <v>1.1705000000000001</v>
      </c>
      <c r="P215" s="22">
        <v>43312</v>
      </c>
      <c r="Q215" s="15">
        <v>0.98960000000000004</v>
      </c>
      <c r="S215" s="22">
        <v>43312</v>
      </c>
      <c r="T215" s="15">
        <v>1.3008999999999999</v>
      </c>
      <c r="V215" s="22">
        <v>43312</v>
      </c>
      <c r="W215" s="15">
        <v>1.3447</v>
      </c>
      <c r="Y215" s="22">
        <v>43312</v>
      </c>
      <c r="Z215" s="15">
        <v>1.4673</v>
      </c>
    </row>
    <row r="216" spans="1:26" x14ac:dyDescent="0.25">
      <c r="A216" s="22">
        <v>43343</v>
      </c>
      <c r="B216" s="14">
        <v>14710</v>
      </c>
      <c r="D216" s="22">
        <v>43343</v>
      </c>
      <c r="E216" s="15">
        <v>32.768000000000001</v>
      </c>
      <c r="G216" s="22">
        <v>43343</v>
      </c>
      <c r="H216" s="15">
        <v>1.3721000000000001</v>
      </c>
      <c r="J216" s="22">
        <v>43343</v>
      </c>
      <c r="K216" s="14">
        <v>23299</v>
      </c>
      <c r="M216" s="22">
        <v>43343</v>
      </c>
      <c r="N216" s="15">
        <v>1.1601999999999999</v>
      </c>
      <c r="P216" s="22">
        <v>43343</v>
      </c>
      <c r="Q216" s="15">
        <v>0.96889999999999998</v>
      </c>
      <c r="S216" s="22">
        <v>43343</v>
      </c>
      <c r="T216" s="15">
        <v>1.304</v>
      </c>
      <c r="V216" s="22">
        <v>43343</v>
      </c>
      <c r="W216" s="15">
        <v>1.3906000000000001</v>
      </c>
      <c r="Y216" s="22">
        <v>43343</v>
      </c>
      <c r="Z216" s="15">
        <v>1.5105</v>
      </c>
    </row>
    <row r="217" spans="1:26" x14ac:dyDescent="0.25">
      <c r="A217" s="22">
        <v>43371</v>
      </c>
      <c r="B217" s="14">
        <v>14903</v>
      </c>
      <c r="D217" s="22">
        <v>43371</v>
      </c>
      <c r="E217" s="15">
        <v>32.323</v>
      </c>
      <c r="G217" s="22">
        <v>43371</v>
      </c>
      <c r="H217" s="15">
        <v>1.367</v>
      </c>
      <c r="J217" s="22">
        <v>43371</v>
      </c>
      <c r="K217" s="14">
        <v>23315</v>
      </c>
      <c r="M217" s="22">
        <v>43371</v>
      </c>
      <c r="N217" s="15">
        <v>1.1604000000000001</v>
      </c>
      <c r="P217" s="22">
        <v>43371</v>
      </c>
      <c r="Q217" s="15">
        <v>0.98170000000000002</v>
      </c>
      <c r="S217" s="22">
        <v>43371</v>
      </c>
      <c r="T217" s="15">
        <v>1.2907999999999999</v>
      </c>
      <c r="V217" s="22">
        <v>43371</v>
      </c>
      <c r="W217" s="15">
        <v>1.3844000000000001</v>
      </c>
      <c r="Y217" s="22">
        <v>43371</v>
      </c>
      <c r="Z217" s="15">
        <v>1.5102</v>
      </c>
    </row>
    <row r="218" spans="1:26" x14ac:dyDescent="0.25">
      <c r="A218" s="22">
        <v>43404</v>
      </c>
      <c r="B218" s="14">
        <v>15203</v>
      </c>
      <c r="D218" s="22">
        <v>43404</v>
      </c>
      <c r="E218" s="15">
        <v>33.109000000000002</v>
      </c>
      <c r="G218" s="22">
        <v>43404</v>
      </c>
      <c r="H218" s="15">
        <v>1.3864000000000001</v>
      </c>
      <c r="J218" s="22">
        <v>43404</v>
      </c>
      <c r="K218" s="14">
        <v>23344</v>
      </c>
      <c r="M218" s="22">
        <v>43404</v>
      </c>
      <c r="N218" s="15">
        <v>1.1306</v>
      </c>
      <c r="P218" s="22">
        <v>43404</v>
      </c>
      <c r="Q218" s="15">
        <v>1.0092000000000001</v>
      </c>
      <c r="S218" s="22">
        <v>43404</v>
      </c>
      <c r="T218" s="15">
        <v>1.3158000000000001</v>
      </c>
      <c r="V218" s="22">
        <v>43404</v>
      </c>
      <c r="W218" s="15">
        <v>1.4139999999999999</v>
      </c>
      <c r="Y218" s="22">
        <v>43404</v>
      </c>
      <c r="Z218" s="15">
        <v>1.5344</v>
      </c>
    </row>
    <row r="219" spans="1:26" x14ac:dyDescent="0.25">
      <c r="A219" s="22">
        <v>43434</v>
      </c>
      <c r="B219" s="14">
        <v>14302</v>
      </c>
      <c r="D219" s="22">
        <v>43434</v>
      </c>
      <c r="E219" s="15">
        <v>32.941000000000003</v>
      </c>
      <c r="G219" s="22">
        <v>43434</v>
      </c>
      <c r="H219" s="15">
        <v>1.3724000000000001</v>
      </c>
      <c r="J219" s="22">
        <v>43434</v>
      </c>
      <c r="K219" s="14">
        <v>23320</v>
      </c>
      <c r="M219" s="22">
        <v>43434</v>
      </c>
      <c r="N219" s="15">
        <v>1.1316999999999999</v>
      </c>
      <c r="P219" s="22">
        <v>43434</v>
      </c>
      <c r="Q219" s="15">
        <v>0.99790000000000001</v>
      </c>
      <c r="S219" s="22">
        <v>43434</v>
      </c>
      <c r="T219" s="15">
        <v>1.3291999999999999</v>
      </c>
      <c r="V219" s="22">
        <v>43434</v>
      </c>
      <c r="W219" s="15">
        <v>1.3676999999999999</v>
      </c>
      <c r="Y219" s="22">
        <v>43434</v>
      </c>
      <c r="Z219" s="15">
        <v>1.4534</v>
      </c>
    </row>
    <row r="220" spans="1:26" x14ac:dyDescent="0.25">
      <c r="A220" s="22">
        <v>43465</v>
      </c>
      <c r="B220" s="14">
        <v>14390</v>
      </c>
      <c r="D220" s="22">
        <v>43465</v>
      </c>
      <c r="E220" s="15">
        <v>32.328000000000003</v>
      </c>
      <c r="G220" s="22">
        <v>43465</v>
      </c>
      <c r="H220" s="15">
        <v>1.363</v>
      </c>
      <c r="J220" s="22">
        <v>43465</v>
      </c>
      <c r="K220" s="14">
        <v>23175</v>
      </c>
      <c r="M220" s="22">
        <v>43465</v>
      </c>
      <c r="N220" s="15">
        <v>1.1452</v>
      </c>
      <c r="P220" s="22">
        <v>43465</v>
      </c>
      <c r="Q220" s="15">
        <v>0.98280000000000001</v>
      </c>
      <c r="S220" s="22">
        <v>43465</v>
      </c>
      <c r="T220" s="15">
        <v>1.3624000000000001</v>
      </c>
      <c r="V220" s="22">
        <v>43465</v>
      </c>
      <c r="W220" s="15">
        <v>1.42</v>
      </c>
      <c r="Y220" s="22">
        <v>43465</v>
      </c>
      <c r="Z220" s="15">
        <v>1.4902</v>
      </c>
    </row>
    <row r="221" spans="1:26" x14ac:dyDescent="0.25">
      <c r="A221" s="22">
        <v>43496</v>
      </c>
      <c r="B221" s="14">
        <v>13973</v>
      </c>
      <c r="D221" s="22">
        <v>43496</v>
      </c>
      <c r="E221" s="15">
        <v>31.236000000000001</v>
      </c>
      <c r="G221" s="22">
        <v>43496</v>
      </c>
      <c r="H221" s="15">
        <v>1.3461000000000001</v>
      </c>
      <c r="J221" s="22">
        <v>43496</v>
      </c>
      <c r="K221" s="14">
        <v>23201</v>
      </c>
      <c r="M221" s="22">
        <v>43496</v>
      </c>
      <c r="N221" s="15">
        <v>1.145</v>
      </c>
      <c r="P221" s="22">
        <v>43496</v>
      </c>
      <c r="Q221" s="15">
        <v>0.99380000000000002</v>
      </c>
      <c r="S221" s="22">
        <v>43496</v>
      </c>
      <c r="T221" s="15">
        <v>1.3146</v>
      </c>
      <c r="V221" s="22">
        <v>43496</v>
      </c>
      <c r="W221" s="15">
        <v>1.3751</v>
      </c>
      <c r="Y221" s="22">
        <v>43496</v>
      </c>
      <c r="Z221" s="15">
        <v>1.4461999999999999</v>
      </c>
    </row>
    <row r="222" spans="1:26" x14ac:dyDescent="0.25">
      <c r="A222" s="22">
        <v>43524</v>
      </c>
      <c r="B222" s="14">
        <v>14069</v>
      </c>
      <c r="D222" s="22">
        <v>43524</v>
      </c>
      <c r="E222" s="15">
        <v>31.582999999999998</v>
      </c>
      <c r="G222" s="22">
        <v>43524</v>
      </c>
      <c r="H222" s="15">
        <v>1.3516999999999999</v>
      </c>
      <c r="J222" s="22">
        <v>43524</v>
      </c>
      <c r="K222" s="14">
        <v>23199</v>
      </c>
      <c r="M222" s="22">
        <v>43524</v>
      </c>
      <c r="N222" s="15">
        <v>1.1382000000000001</v>
      </c>
      <c r="P222" s="22">
        <v>43524</v>
      </c>
      <c r="Q222" s="15">
        <v>0.99750000000000005</v>
      </c>
      <c r="S222" s="22">
        <v>43524</v>
      </c>
      <c r="T222" s="15">
        <v>1.3160000000000001</v>
      </c>
      <c r="V222" s="22">
        <v>43524</v>
      </c>
      <c r="W222" s="15">
        <v>1.4088000000000001</v>
      </c>
      <c r="Y222" s="22">
        <v>43524</v>
      </c>
      <c r="Z222" s="15">
        <v>1.4686999999999999</v>
      </c>
    </row>
    <row r="223" spans="1:26" x14ac:dyDescent="0.25">
      <c r="A223" s="22">
        <v>43553</v>
      </c>
      <c r="B223" s="14">
        <v>14243</v>
      </c>
      <c r="D223" s="22">
        <v>43553</v>
      </c>
      <c r="E223" s="15">
        <v>31.736999999999998</v>
      </c>
      <c r="G223" s="22">
        <v>43553</v>
      </c>
      <c r="H223" s="15">
        <v>1.3556999999999999</v>
      </c>
      <c r="J223" s="22">
        <v>43553</v>
      </c>
      <c r="K223" s="14">
        <v>23189</v>
      </c>
      <c r="M223" s="22">
        <v>43553</v>
      </c>
      <c r="N223" s="15">
        <v>1.1217999999999999</v>
      </c>
      <c r="P223" s="22">
        <v>43553</v>
      </c>
      <c r="Q223" s="15">
        <v>0.99519999999999997</v>
      </c>
      <c r="S223" s="22">
        <v>43553</v>
      </c>
      <c r="T223" s="15">
        <v>1.3349</v>
      </c>
      <c r="V223" s="22">
        <v>43553</v>
      </c>
      <c r="W223" s="15">
        <v>1.4091</v>
      </c>
      <c r="Y223" s="22">
        <v>43553</v>
      </c>
      <c r="Z223" s="15">
        <v>1.4693000000000001</v>
      </c>
    </row>
    <row r="224" spans="1:26" x14ac:dyDescent="0.25">
      <c r="A224" s="22">
        <v>43585</v>
      </c>
      <c r="B224" s="14">
        <v>14257</v>
      </c>
      <c r="D224" s="22">
        <v>43585</v>
      </c>
      <c r="E224" s="15">
        <v>31.899000000000001</v>
      </c>
      <c r="G224" s="22">
        <v>43585</v>
      </c>
      <c r="H224" s="15">
        <v>1.3602000000000001</v>
      </c>
      <c r="J224" s="22">
        <v>43585</v>
      </c>
      <c r="K224" s="14">
        <v>23280</v>
      </c>
      <c r="M224" s="22">
        <v>43585</v>
      </c>
      <c r="N224" s="15">
        <v>1.1216999999999999</v>
      </c>
      <c r="P224" s="22">
        <v>43585</v>
      </c>
      <c r="Q224" s="15">
        <v>1.0186999999999999</v>
      </c>
      <c r="S224" s="22">
        <v>43585</v>
      </c>
      <c r="T224" s="15">
        <v>1.3411</v>
      </c>
      <c r="V224" s="22">
        <v>43585</v>
      </c>
      <c r="W224" s="15">
        <v>1.4181999999999999</v>
      </c>
      <c r="Y224" s="22">
        <v>43585</v>
      </c>
      <c r="Z224" s="15">
        <v>1.4974000000000001</v>
      </c>
    </row>
    <row r="225" spans="1:26" x14ac:dyDescent="0.25">
      <c r="A225" s="22">
        <v>43616</v>
      </c>
      <c r="B225" s="14">
        <v>14269</v>
      </c>
      <c r="D225" s="22">
        <v>43616</v>
      </c>
      <c r="E225" s="15">
        <v>31.527000000000001</v>
      </c>
      <c r="G225" s="22">
        <v>43616</v>
      </c>
      <c r="H225" s="15">
        <v>1.3748</v>
      </c>
      <c r="J225" s="22">
        <v>43616</v>
      </c>
      <c r="K225" s="14">
        <v>23415</v>
      </c>
      <c r="M225" s="22">
        <v>43616</v>
      </c>
      <c r="N225" s="15">
        <v>1.1169</v>
      </c>
      <c r="P225" s="22">
        <v>43616</v>
      </c>
      <c r="Q225" s="15">
        <v>1.0005999999999999</v>
      </c>
      <c r="S225" s="22">
        <v>43616</v>
      </c>
      <c r="T225" s="15">
        <v>1.3515999999999999</v>
      </c>
      <c r="V225" s="22">
        <v>43616</v>
      </c>
      <c r="W225" s="15">
        <v>1.4415</v>
      </c>
      <c r="Y225" s="22">
        <v>43616</v>
      </c>
      <c r="Z225" s="15">
        <v>1.5298</v>
      </c>
    </row>
    <row r="226" spans="1:26" x14ac:dyDescent="0.25">
      <c r="A226" s="22">
        <v>43644</v>
      </c>
      <c r="B226" s="14">
        <v>14126</v>
      </c>
      <c r="D226" s="22">
        <v>43644</v>
      </c>
      <c r="E226" s="15">
        <v>30.68</v>
      </c>
      <c r="G226" s="22">
        <v>43644</v>
      </c>
      <c r="H226" s="15">
        <v>1.353</v>
      </c>
      <c r="J226" s="22">
        <v>43644</v>
      </c>
      <c r="K226" s="14">
        <v>23301</v>
      </c>
      <c r="M226" s="22">
        <v>43644</v>
      </c>
      <c r="N226" s="15">
        <v>1.1373</v>
      </c>
      <c r="P226" s="22">
        <v>43644</v>
      </c>
      <c r="Q226" s="15">
        <v>0.97629999999999995</v>
      </c>
      <c r="S226" s="22">
        <v>43644</v>
      </c>
      <c r="T226" s="15">
        <v>1.3095000000000001</v>
      </c>
      <c r="V226" s="22">
        <v>43644</v>
      </c>
      <c r="W226" s="15">
        <v>1.4242999999999999</v>
      </c>
      <c r="Y226" s="22">
        <v>43644</v>
      </c>
      <c r="Z226" s="15">
        <v>1.4886999999999999</v>
      </c>
    </row>
    <row r="227" spans="1:26" x14ac:dyDescent="0.25">
      <c r="A227" s="22">
        <v>43677</v>
      </c>
      <c r="B227" s="14">
        <v>14022</v>
      </c>
      <c r="D227" s="22">
        <v>43677</v>
      </c>
      <c r="E227" s="15">
        <v>30.75</v>
      </c>
      <c r="G227" s="22">
        <v>43677</v>
      </c>
      <c r="H227" s="15">
        <v>1.3693</v>
      </c>
      <c r="J227" s="22">
        <v>43677</v>
      </c>
      <c r="K227" s="14">
        <v>23205</v>
      </c>
      <c r="M227" s="22">
        <v>43677</v>
      </c>
      <c r="N227" s="15">
        <v>1.1128</v>
      </c>
      <c r="P227" s="22">
        <v>43677</v>
      </c>
      <c r="Q227" s="15">
        <v>0.9899</v>
      </c>
      <c r="S227" s="22">
        <v>43677</v>
      </c>
      <c r="T227" s="15">
        <v>1.3149</v>
      </c>
      <c r="V227" s="22">
        <v>43677</v>
      </c>
      <c r="W227" s="15">
        <v>1.4533</v>
      </c>
      <c r="Y227" s="22">
        <v>43677</v>
      </c>
      <c r="Z227" s="15">
        <v>1.5170999999999999</v>
      </c>
    </row>
    <row r="228" spans="1:26" x14ac:dyDescent="0.25">
      <c r="A228" s="22">
        <v>43707</v>
      </c>
      <c r="B228" s="14">
        <v>14198</v>
      </c>
      <c r="D228" s="22">
        <v>43707</v>
      </c>
      <c r="E228" s="15">
        <v>30.638999999999999</v>
      </c>
      <c r="G228" s="22">
        <v>43707</v>
      </c>
      <c r="H228" s="15">
        <v>1.3872</v>
      </c>
      <c r="J228" s="22">
        <v>43707</v>
      </c>
      <c r="K228" s="14">
        <v>23196</v>
      </c>
      <c r="M228" s="22">
        <v>43707</v>
      </c>
      <c r="N228" s="15">
        <v>1.0982000000000001</v>
      </c>
      <c r="P228" s="22">
        <v>43707</v>
      </c>
      <c r="Q228" s="15">
        <v>0.99039999999999995</v>
      </c>
      <c r="S228" s="22">
        <v>43707</v>
      </c>
      <c r="T228" s="15">
        <v>1.3310999999999999</v>
      </c>
      <c r="V228" s="22">
        <v>43707</v>
      </c>
      <c r="W228" s="15">
        <v>1.4846999999999999</v>
      </c>
      <c r="Y228" s="22">
        <v>43707</v>
      </c>
      <c r="Z228" s="15">
        <v>1.5825</v>
      </c>
    </row>
    <row r="229" spans="1:26" x14ac:dyDescent="0.25">
      <c r="A229" s="22">
        <v>43738</v>
      </c>
      <c r="B229" s="14">
        <v>14195</v>
      </c>
      <c r="D229" s="22">
        <v>43738</v>
      </c>
      <c r="E229" s="15">
        <v>30.59</v>
      </c>
      <c r="G229" s="22">
        <v>43738</v>
      </c>
      <c r="H229" s="15">
        <v>1.383</v>
      </c>
      <c r="J229" s="22">
        <v>43738</v>
      </c>
      <c r="K229" s="14">
        <v>23203</v>
      </c>
      <c r="M229" s="22">
        <v>43738</v>
      </c>
      <c r="N229" s="15">
        <v>1.0903</v>
      </c>
      <c r="P229" s="22">
        <v>43738</v>
      </c>
      <c r="Q229" s="15">
        <v>0.99790000000000001</v>
      </c>
      <c r="S229" s="22">
        <v>43738</v>
      </c>
      <c r="T229" s="15">
        <v>1.3241000000000001</v>
      </c>
      <c r="V229" s="22">
        <v>43738</v>
      </c>
      <c r="W229" s="15">
        <v>1.482</v>
      </c>
      <c r="Y229" s="22">
        <v>43738</v>
      </c>
      <c r="Z229" s="15">
        <v>1.5973999999999999</v>
      </c>
    </row>
    <row r="230" spans="1:26" x14ac:dyDescent="0.25">
      <c r="A230" s="22">
        <v>43769</v>
      </c>
      <c r="B230" s="14">
        <v>14043</v>
      </c>
      <c r="D230" s="22">
        <v>43769</v>
      </c>
      <c r="E230" s="15">
        <v>30.189</v>
      </c>
      <c r="G230" s="22">
        <v>43769</v>
      </c>
      <c r="H230" s="15">
        <v>1.361</v>
      </c>
      <c r="J230" s="22">
        <v>43769</v>
      </c>
      <c r="K230" s="14">
        <v>23202</v>
      </c>
      <c r="M230" s="22">
        <v>43769</v>
      </c>
      <c r="N230" s="15">
        <v>1.1146</v>
      </c>
      <c r="P230" s="22">
        <v>43769</v>
      </c>
      <c r="Q230" s="15">
        <v>0.98650000000000004</v>
      </c>
      <c r="S230" s="22">
        <v>43769</v>
      </c>
      <c r="T230" s="15">
        <v>1.3162</v>
      </c>
      <c r="V230" s="22">
        <v>43769</v>
      </c>
      <c r="W230" s="15">
        <v>1.4518</v>
      </c>
      <c r="Y230" s="22">
        <v>43769</v>
      </c>
      <c r="Z230" s="15">
        <v>1.5609999999999999</v>
      </c>
    </row>
    <row r="231" spans="1:26" x14ac:dyDescent="0.25">
      <c r="A231" s="22">
        <v>43798</v>
      </c>
      <c r="B231" s="14">
        <v>14108</v>
      </c>
      <c r="D231" s="22">
        <v>43798</v>
      </c>
      <c r="E231" s="15">
        <v>30.213000000000001</v>
      </c>
      <c r="G231" s="22">
        <v>43798</v>
      </c>
      <c r="H231" s="15">
        <v>1.3676999999999999</v>
      </c>
      <c r="J231" s="22">
        <v>43798</v>
      </c>
      <c r="K231" s="14">
        <v>23197</v>
      </c>
      <c r="M231" s="22">
        <v>43798</v>
      </c>
      <c r="N231" s="15">
        <v>1.1017999999999999</v>
      </c>
      <c r="P231" s="22">
        <v>43798</v>
      </c>
      <c r="Q231" s="15">
        <v>1.0002</v>
      </c>
      <c r="S231" s="22">
        <v>43798</v>
      </c>
      <c r="T231" s="15">
        <v>1.3282</v>
      </c>
      <c r="V231" s="22">
        <v>43798</v>
      </c>
      <c r="W231" s="15">
        <v>1.4786999999999999</v>
      </c>
      <c r="Y231" s="22">
        <v>43798</v>
      </c>
      <c r="Z231" s="15">
        <v>1.5577000000000001</v>
      </c>
    </row>
    <row r="232" spans="1:26" x14ac:dyDescent="0.25">
      <c r="A232" s="22">
        <v>43830</v>
      </c>
      <c r="B232" s="14">
        <v>13866</v>
      </c>
      <c r="D232" s="22">
        <v>43830</v>
      </c>
      <c r="E232" s="15">
        <v>29.751000000000001</v>
      </c>
      <c r="G232" s="22">
        <v>43830</v>
      </c>
      <c r="H232" s="15">
        <v>1.3446</v>
      </c>
      <c r="J232" s="22">
        <v>43830</v>
      </c>
      <c r="K232" s="14">
        <v>23173</v>
      </c>
      <c r="M232" s="22">
        <v>43830</v>
      </c>
      <c r="N232" s="15">
        <v>1.1229</v>
      </c>
      <c r="P232" s="22">
        <v>43830</v>
      </c>
      <c r="Q232" s="15">
        <v>0.96640000000000004</v>
      </c>
      <c r="S232" s="22">
        <v>43830</v>
      </c>
      <c r="T232" s="15">
        <v>1.2978000000000001</v>
      </c>
      <c r="V232" s="22">
        <v>43830</v>
      </c>
      <c r="W232" s="15">
        <v>1.4235</v>
      </c>
      <c r="Y232" s="22">
        <v>43830</v>
      </c>
      <c r="Z232" s="15">
        <v>1.4827999999999999</v>
      </c>
    </row>
    <row r="233" spans="1:26" x14ac:dyDescent="0.25">
      <c r="A233" s="22">
        <v>43861</v>
      </c>
      <c r="B233" s="14">
        <v>13655</v>
      </c>
      <c r="D233" s="22">
        <v>43861</v>
      </c>
      <c r="E233" s="15">
        <v>31.218</v>
      </c>
      <c r="G233" s="22">
        <v>43861</v>
      </c>
      <c r="H233" s="15">
        <v>1.3648</v>
      </c>
      <c r="J233" s="22">
        <v>43861</v>
      </c>
      <c r="K233" s="14">
        <v>23223</v>
      </c>
      <c r="M233" s="22">
        <v>43861</v>
      </c>
      <c r="N233" s="15">
        <v>1.1093</v>
      </c>
      <c r="P233" s="22">
        <v>43861</v>
      </c>
      <c r="Q233" s="15">
        <v>0.96340000000000003</v>
      </c>
      <c r="S233" s="22">
        <v>43861</v>
      </c>
      <c r="T233" s="15">
        <v>1.3237000000000001</v>
      </c>
      <c r="V233" s="22">
        <v>43861</v>
      </c>
      <c r="W233" s="15">
        <v>1.4951000000000001</v>
      </c>
      <c r="Y233" s="22">
        <v>43861</v>
      </c>
      <c r="Z233" s="15">
        <v>1.5464</v>
      </c>
    </row>
    <row r="234" spans="1:26" x14ac:dyDescent="0.25">
      <c r="A234" s="22">
        <v>43889</v>
      </c>
      <c r="B234" s="14">
        <v>14318</v>
      </c>
      <c r="D234" s="22">
        <v>43889</v>
      </c>
      <c r="E234" s="15">
        <v>31.521999999999998</v>
      </c>
      <c r="G234" s="22">
        <v>43889</v>
      </c>
      <c r="H234" s="15">
        <v>1.3932</v>
      </c>
      <c r="J234" s="22">
        <v>43889</v>
      </c>
      <c r="K234" s="14">
        <v>23240</v>
      </c>
      <c r="M234" s="22">
        <v>43889</v>
      </c>
      <c r="N234" s="15">
        <v>1.1026</v>
      </c>
      <c r="P234" s="22">
        <v>43889</v>
      </c>
      <c r="Q234" s="15">
        <v>0.96489999999999998</v>
      </c>
      <c r="S234" s="22">
        <v>43889</v>
      </c>
      <c r="T234" s="15">
        <v>1.3407</v>
      </c>
      <c r="V234" s="22">
        <v>43889</v>
      </c>
      <c r="W234" s="15">
        <v>1.5363</v>
      </c>
      <c r="Y234" s="22">
        <v>43889</v>
      </c>
      <c r="Z234" s="15">
        <v>1.6001000000000001</v>
      </c>
    </row>
    <row r="235" spans="1:26" x14ac:dyDescent="0.25">
      <c r="A235" s="22">
        <v>43921</v>
      </c>
      <c r="B235" s="14">
        <v>16310</v>
      </c>
      <c r="D235" s="22">
        <v>43921</v>
      </c>
      <c r="E235" s="15">
        <v>32.735999999999997</v>
      </c>
      <c r="G235" s="22">
        <v>43921</v>
      </c>
      <c r="H235" s="15">
        <v>1.4239999999999999</v>
      </c>
      <c r="J235" s="22">
        <v>43921</v>
      </c>
      <c r="K235" s="14">
        <v>23637</v>
      </c>
      <c r="M235" s="22">
        <v>43921</v>
      </c>
      <c r="N235" s="15">
        <v>1.0971</v>
      </c>
      <c r="P235" s="22">
        <v>43921</v>
      </c>
      <c r="Q235" s="15">
        <v>0.96589999999999998</v>
      </c>
      <c r="S235" s="22">
        <v>43921</v>
      </c>
      <c r="T235" s="15">
        <v>1.4186000000000001</v>
      </c>
      <c r="V235" s="22">
        <v>43921</v>
      </c>
      <c r="W235" s="15">
        <v>1.6384000000000001</v>
      </c>
      <c r="Y235" s="22">
        <v>43921</v>
      </c>
      <c r="Z235" s="15">
        <v>1.6860999999999999</v>
      </c>
    </row>
    <row r="236" spans="1:26" x14ac:dyDescent="0.25">
      <c r="A236" s="22">
        <v>43951</v>
      </c>
      <c r="B236" s="14">
        <v>14882</v>
      </c>
      <c r="D236" s="22">
        <v>43951</v>
      </c>
      <c r="E236" s="15">
        <v>32.479999999999997</v>
      </c>
      <c r="G236" s="22">
        <v>43951</v>
      </c>
      <c r="H236" s="15">
        <v>1.4097999999999999</v>
      </c>
      <c r="J236" s="22">
        <v>43951</v>
      </c>
      <c r="K236" s="14">
        <v>23426</v>
      </c>
      <c r="M236" s="22">
        <v>43951</v>
      </c>
      <c r="N236" s="15">
        <v>1.0936999999999999</v>
      </c>
      <c r="P236" s="22">
        <v>43951</v>
      </c>
      <c r="Q236" s="15">
        <v>0.96640000000000004</v>
      </c>
      <c r="S236" s="22">
        <v>43951</v>
      </c>
      <c r="T236" s="15">
        <v>1.3929</v>
      </c>
      <c r="V236" s="22">
        <v>43951</v>
      </c>
      <c r="W236" s="15">
        <v>1.5328999999999999</v>
      </c>
      <c r="Y236" s="22">
        <v>43951</v>
      </c>
      <c r="Z236" s="15">
        <v>1.6278999999999999</v>
      </c>
    </row>
    <row r="237" spans="1:26" x14ac:dyDescent="0.25">
      <c r="A237" s="22">
        <v>43980</v>
      </c>
      <c r="B237" s="14">
        <v>14610</v>
      </c>
      <c r="D237" s="22">
        <v>43980</v>
      </c>
      <c r="E237" s="15">
        <v>31.812000000000001</v>
      </c>
      <c r="G237" s="22">
        <v>43980</v>
      </c>
      <c r="H237" s="15">
        <v>1.4135</v>
      </c>
      <c r="J237" s="22">
        <v>43980</v>
      </c>
      <c r="K237" s="14">
        <v>23282</v>
      </c>
      <c r="M237" s="22">
        <v>43980</v>
      </c>
      <c r="N237" s="15">
        <v>1.1101000000000001</v>
      </c>
      <c r="P237" s="22">
        <v>43980</v>
      </c>
      <c r="Q237" s="15">
        <v>0.96160000000000001</v>
      </c>
      <c r="S237" s="22">
        <v>43980</v>
      </c>
      <c r="T237" s="15">
        <v>1.3779999999999999</v>
      </c>
      <c r="V237" s="22">
        <v>43980</v>
      </c>
      <c r="W237" s="15">
        <v>1.4995000000000001</v>
      </c>
      <c r="Y237" s="22">
        <v>43980</v>
      </c>
      <c r="Z237" s="15">
        <v>1.6113999999999999</v>
      </c>
    </row>
    <row r="238" spans="1:26" x14ac:dyDescent="0.25">
      <c r="A238" s="22">
        <v>44012</v>
      </c>
      <c r="B238" s="14">
        <v>14265</v>
      </c>
      <c r="D238" s="22">
        <v>44012</v>
      </c>
      <c r="E238" s="15">
        <v>30.876000000000001</v>
      </c>
      <c r="G238" s="22">
        <v>44012</v>
      </c>
      <c r="H238" s="15">
        <v>1.3939999999999999</v>
      </c>
      <c r="J238" s="22">
        <v>44012</v>
      </c>
      <c r="K238" s="14">
        <v>23196</v>
      </c>
      <c r="M238" s="22">
        <v>44012</v>
      </c>
      <c r="N238" s="15">
        <v>1.1243000000000001</v>
      </c>
      <c r="P238" s="22">
        <v>44012</v>
      </c>
      <c r="Q238" s="15">
        <v>0.94710000000000005</v>
      </c>
      <c r="S238" s="22">
        <v>44012</v>
      </c>
      <c r="T238" s="15">
        <v>1.3615999999999999</v>
      </c>
      <c r="V238" s="22">
        <v>44012</v>
      </c>
      <c r="W238" s="15">
        <v>1.4512</v>
      </c>
      <c r="Y238" s="22">
        <v>44012</v>
      </c>
      <c r="Z238" s="15">
        <v>1.5518000000000001</v>
      </c>
    </row>
    <row r="239" spans="1:26" x14ac:dyDescent="0.25">
      <c r="A239" s="22">
        <v>44043</v>
      </c>
      <c r="B239" s="14">
        <v>14600</v>
      </c>
      <c r="D239" s="22">
        <v>44043</v>
      </c>
      <c r="E239" s="15">
        <v>31.26</v>
      </c>
      <c r="G239" s="22">
        <v>44043</v>
      </c>
      <c r="H239" s="15">
        <v>1.3745000000000001</v>
      </c>
      <c r="J239" s="22">
        <v>44043</v>
      </c>
      <c r="K239" s="14">
        <v>23167</v>
      </c>
      <c r="M239" s="22">
        <v>44043</v>
      </c>
      <c r="N239" s="15">
        <v>1.1778</v>
      </c>
      <c r="P239" s="22">
        <v>44043</v>
      </c>
      <c r="Q239" s="15">
        <v>0.91290000000000004</v>
      </c>
      <c r="S239" s="22">
        <v>44043</v>
      </c>
      <c r="T239" s="15">
        <v>1.3411999999999999</v>
      </c>
      <c r="V239" s="22">
        <v>44043</v>
      </c>
      <c r="W239" s="15">
        <v>1.3998999999999999</v>
      </c>
      <c r="Y239" s="22">
        <v>44043</v>
      </c>
      <c r="Z239" s="15">
        <v>1.5084</v>
      </c>
    </row>
    <row r="240" spans="1:26" x14ac:dyDescent="0.25">
      <c r="A240" s="22">
        <v>44074</v>
      </c>
      <c r="B240" s="14">
        <v>14563</v>
      </c>
      <c r="D240" s="22">
        <v>44074</v>
      </c>
      <c r="E240" s="15">
        <v>31.058</v>
      </c>
      <c r="G240" s="22">
        <v>44074</v>
      </c>
      <c r="H240" s="15">
        <v>1.3596999999999999</v>
      </c>
      <c r="J240" s="22">
        <v>44074</v>
      </c>
      <c r="K240" s="14">
        <v>23175</v>
      </c>
      <c r="M240" s="22">
        <v>44074</v>
      </c>
      <c r="N240" s="15">
        <v>1.1943999999999999</v>
      </c>
      <c r="P240" s="22">
        <v>44074</v>
      </c>
      <c r="Q240" s="15">
        <v>0.90280000000000005</v>
      </c>
      <c r="S240" s="22">
        <v>44074</v>
      </c>
      <c r="T240" s="15">
        <v>1.3042</v>
      </c>
      <c r="V240" s="22">
        <v>44074</v>
      </c>
      <c r="W240" s="15">
        <v>1.3532999999999999</v>
      </c>
      <c r="Y240" s="22">
        <v>44074</v>
      </c>
      <c r="Z240" s="15">
        <v>1.4812000000000001</v>
      </c>
    </row>
    <row r="241" spans="1:26" x14ac:dyDescent="0.25">
      <c r="A241" s="22">
        <v>44104</v>
      </c>
      <c r="B241" s="14">
        <v>14880</v>
      </c>
      <c r="D241" s="22">
        <v>44104</v>
      </c>
      <c r="E241" s="15">
        <v>31.593</v>
      </c>
      <c r="G241" s="22">
        <v>44104</v>
      </c>
      <c r="H241" s="15">
        <v>1.3648</v>
      </c>
      <c r="J241" s="22">
        <v>44104</v>
      </c>
      <c r="K241" s="14">
        <v>23184</v>
      </c>
      <c r="M241" s="22">
        <v>44104</v>
      </c>
      <c r="N241" s="15">
        <v>1.1721999999999999</v>
      </c>
      <c r="P241" s="22">
        <v>44104</v>
      </c>
      <c r="Q241" s="15">
        <v>0.9214</v>
      </c>
      <c r="S241" s="22">
        <v>44104</v>
      </c>
      <c r="T241" s="15">
        <v>1.3310999999999999</v>
      </c>
      <c r="V241" s="22">
        <v>44104</v>
      </c>
      <c r="W241" s="15">
        <v>1.3945000000000001</v>
      </c>
      <c r="Y241" s="22">
        <v>44104</v>
      </c>
      <c r="Z241" s="15">
        <v>1.5101</v>
      </c>
    </row>
    <row r="242" spans="1:26" x14ac:dyDescent="0.25">
      <c r="A242" s="22">
        <v>44134</v>
      </c>
      <c r="B242" s="14">
        <v>14625</v>
      </c>
      <c r="D242" s="22">
        <v>44134</v>
      </c>
      <c r="E242" s="15">
        <v>31.16</v>
      </c>
      <c r="G242" s="22">
        <v>44134</v>
      </c>
      <c r="H242" s="15">
        <v>1.3664000000000001</v>
      </c>
      <c r="J242" s="22">
        <v>44134</v>
      </c>
      <c r="K242" s="14">
        <v>23178</v>
      </c>
      <c r="M242" s="22">
        <v>44134</v>
      </c>
      <c r="N242" s="15">
        <v>1.1647000000000001</v>
      </c>
      <c r="P242" s="22">
        <v>44134</v>
      </c>
      <c r="Q242" s="15">
        <v>0.91700000000000004</v>
      </c>
      <c r="S242" s="22">
        <v>44134</v>
      </c>
      <c r="T242" s="15">
        <v>1.3321000000000001</v>
      </c>
      <c r="V242" s="22">
        <v>44134</v>
      </c>
      <c r="W242" s="15">
        <v>1.4228000000000001</v>
      </c>
      <c r="Y242" s="22">
        <v>44134</v>
      </c>
      <c r="Z242" s="15">
        <v>1.5121</v>
      </c>
    </row>
    <row r="243" spans="1:26" x14ac:dyDescent="0.25">
      <c r="A243" s="22">
        <v>44165</v>
      </c>
      <c r="B243" s="14">
        <v>14120</v>
      </c>
      <c r="D243" s="22">
        <v>44165</v>
      </c>
      <c r="E243" s="15">
        <v>30.289000000000001</v>
      </c>
      <c r="G243" s="22">
        <v>44165</v>
      </c>
      <c r="H243" s="15">
        <v>1.3392999999999999</v>
      </c>
      <c r="J243" s="22">
        <v>44165</v>
      </c>
      <c r="K243" s="14">
        <v>23133</v>
      </c>
      <c r="M243" s="22">
        <v>44165</v>
      </c>
      <c r="N243" s="15">
        <v>1.1954</v>
      </c>
      <c r="P243" s="22">
        <v>44165</v>
      </c>
      <c r="Q243" s="15">
        <v>0.90580000000000005</v>
      </c>
      <c r="S243" s="22">
        <v>44165</v>
      </c>
      <c r="T243" s="15">
        <v>1.2977000000000001</v>
      </c>
      <c r="V243" s="22">
        <v>44165</v>
      </c>
      <c r="W243" s="15">
        <v>1.3592</v>
      </c>
      <c r="Y243" s="22">
        <v>44165</v>
      </c>
      <c r="Z243" s="15">
        <v>1.4228000000000001</v>
      </c>
    </row>
    <row r="244" spans="1:26" x14ac:dyDescent="0.25">
      <c r="A244" s="22">
        <v>44196</v>
      </c>
      <c r="B244" s="14">
        <v>14050</v>
      </c>
      <c r="D244" s="22">
        <v>44196</v>
      </c>
      <c r="E244" s="15">
        <v>29.995000000000001</v>
      </c>
      <c r="G244" s="22">
        <v>44196</v>
      </c>
      <c r="H244" s="15">
        <v>1.3212999999999999</v>
      </c>
      <c r="J244" s="22">
        <v>44196</v>
      </c>
      <c r="K244" s="14">
        <v>23098</v>
      </c>
      <c r="M244" s="22">
        <v>44196</v>
      </c>
      <c r="N244" s="15">
        <v>1.2224999999999999</v>
      </c>
      <c r="P244" s="22">
        <v>44196</v>
      </c>
      <c r="Q244" s="15">
        <v>0.88519999999999999</v>
      </c>
      <c r="S244" s="22">
        <v>44196</v>
      </c>
      <c r="T244" s="15">
        <v>1.2767999999999999</v>
      </c>
      <c r="V244" s="22">
        <v>44196</v>
      </c>
      <c r="W244" s="15">
        <v>1.2989999999999999</v>
      </c>
      <c r="Y244" s="22">
        <v>44196</v>
      </c>
      <c r="Z244" s="15">
        <v>1.3907</v>
      </c>
    </row>
    <row r="245" spans="1:26" x14ac:dyDescent="0.25">
      <c r="A245" s="22">
        <v>44225</v>
      </c>
      <c r="B245" s="14">
        <v>14030</v>
      </c>
      <c r="D245" s="22">
        <v>44225</v>
      </c>
      <c r="E245" s="15">
        <v>29.914999999999999</v>
      </c>
      <c r="G245" s="22">
        <v>44225</v>
      </c>
      <c r="H245" s="15">
        <v>1.329</v>
      </c>
      <c r="J245" s="22">
        <v>44225</v>
      </c>
      <c r="K245" s="14">
        <v>23049</v>
      </c>
      <c r="M245" s="22">
        <v>44225</v>
      </c>
      <c r="N245" s="15">
        <v>1.2136</v>
      </c>
      <c r="P245" s="22">
        <v>44225</v>
      </c>
      <c r="Q245" s="15">
        <v>0.89029999999999998</v>
      </c>
      <c r="S245" s="22">
        <v>44225</v>
      </c>
      <c r="T245" s="15">
        <v>1.2777000000000001</v>
      </c>
      <c r="V245" s="22">
        <v>44225</v>
      </c>
      <c r="W245" s="15">
        <v>1.3082</v>
      </c>
      <c r="Y245" s="22">
        <v>44225</v>
      </c>
      <c r="Z245" s="15">
        <v>1.3920999999999999</v>
      </c>
    </row>
    <row r="246" spans="1:26" x14ac:dyDescent="0.25">
      <c r="A246" s="22">
        <v>44253</v>
      </c>
      <c r="B246" s="14">
        <v>14235</v>
      </c>
      <c r="D246" s="22">
        <v>44253</v>
      </c>
      <c r="E246" s="15">
        <v>30.436</v>
      </c>
      <c r="G246" s="22">
        <v>44253</v>
      </c>
      <c r="H246" s="15">
        <v>1.3326</v>
      </c>
      <c r="J246" s="22">
        <v>44253</v>
      </c>
      <c r="K246" s="14">
        <v>23018</v>
      </c>
      <c r="M246" s="22">
        <v>44253</v>
      </c>
      <c r="N246" s="15">
        <v>1.2075</v>
      </c>
      <c r="P246" s="22">
        <v>44253</v>
      </c>
      <c r="Q246" s="15">
        <v>0.90849999999999997</v>
      </c>
      <c r="S246" s="22">
        <v>44253</v>
      </c>
      <c r="T246" s="15">
        <v>1.2738</v>
      </c>
      <c r="V246" s="22">
        <v>44253</v>
      </c>
      <c r="W246" s="15">
        <v>1.2978000000000001</v>
      </c>
      <c r="Y246" s="22">
        <v>44253</v>
      </c>
      <c r="Z246" s="15">
        <v>1.3825000000000001</v>
      </c>
    </row>
    <row r="247" spans="1:26" x14ac:dyDescent="0.25">
      <c r="A247" s="22">
        <v>44286</v>
      </c>
      <c r="B247" s="14">
        <v>14525</v>
      </c>
      <c r="D247" s="22">
        <v>44286</v>
      </c>
      <c r="E247" s="15">
        <v>31.247</v>
      </c>
      <c r="G247" s="22">
        <v>44286</v>
      </c>
      <c r="H247" s="15">
        <v>1.3440000000000001</v>
      </c>
      <c r="J247" s="22">
        <v>44286</v>
      </c>
      <c r="K247" s="14">
        <v>23065</v>
      </c>
      <c r="M247" s="22">
        <v>44286</v>
      </c>
      <c r="N247" s="15">
        <v>1.175</v>
      </c>
      <c r="P247" s="22">
        <v>44286</v>
      </c>
      <c r="Q247" s="15">
        <v>0.94210000000000005</v>
      </c>
      <c r="S247" s="22">
        <v>44286</v>
      </c>
      <c r="T247" s="15">
        <v>1.2573000000000001</v>
      </c>
      <c r="V247" s="22">
        <v>44286</v>
      </c>
      <c r="W247" s="15">
        <v>1.3129</v>
      </c>
      <c r="Y247" s="22">
        <v>44286</v>
      </c>
      <c r="Z247" s="15">
        <v>1.4294</v>
      </c>
    </row>
    <row r="248" spans="1:26" x14ac:dyDescent="0.25">
      <c r="A248" s="22">
        <v>44316</v>
      </c>
      <c r="B248" s="14">
        <v>14445</v>
      </c>
      <c r="D248" s="22">
        <v>44316</v>
      </c>
      <c r="E248" s="15">
        <v>31.16</v>
      </c>
      <c r="G248" s="22">
        <v>44316</v>
      </c>
      <c r="H248" s="15">
        <v>1.3308</v>
      </c>
      <c r="J248" s="22">
        <v>44316</v>
      </c>
      <c r="K248" s="14">
        <v>23053</v>
      </c>
      <c r="M248" s="22">
        <v>44316</v>
      </c>
      <c r="N248" s="15">
        <v>1.202</v>
      </c>
      <c r="P248" s="22">
        <v>44316</v>
      </c>
      <c r="Q248" s="15">
        <v>0.91310000000000002</v>
      </c>
      <c r="S248" s="22">
        <v>44316</v>
      </c>
      <c r="T248" s="15">
        <v>1.2286999999999999</v>
      </c>
      <c r="V248" s="22">
        <v>44316</v>
      </c>
      <c r="W248" s="15">
        <v>1.2966</v>
      </c>
      <c r="Y248" s="22">
        <v>44316</v>
      </c>
      <c r="Z248" s="15">
        <v>1.3964000000000001</v>
      </c>
    </row>
    <row r="249" spans="1:26" x14ac:dyDescent="0.25">
      <c r="A249" s="22">
        <v>44347</v>
      </c>
      <c r="B249" s="14">
        <v>14280</v>
      </c>
      <c r="D249" s="22">
        <v>44347</v>
      </c>
      <c r="E249" s="15">
        <v>31.2</v>
      </c>
      <c r="G249" s="22">
        <v>44347</v>
      </c>
      <c r="H249" s="15">
        <v>1.3212999999999999</v>
      </c>
      <c r="J249" s="22">
        <v>44347</v>
      </c>
      <c r="K249" s="14">
        <v>23048</v>
      </c>
      <c r="M249" s="22">
        <v>44347</v>
      </c>
      <c r="N249" s="15">
        <v>1.2228000000000001</v>
      </c>
      <c r="P249" s="22">
        <v>44347</v>
      </c>
      <c r="Q249" s="15">
        <v>0.89880000000000004</v>
      </c>
      <c r="S249" s="22">
        <v>44347</v>
      </c>
      <c r="T249" s="15">
        <v>1.2068000000000001</v>
      </c>
      <c r="V249" s="22">
        <v>44347</v>
      </c>
      <c r="W249" s="15">
        <v>1.2924</v>
      </c>
      <c r="Y249" s="22">
        <v>44347</v>
      </c>
      <c r="Z249" s="15">
        <v>1.3735999999999999</v>
      </c>
    </row>
    <row r="250" spans="1:26" x14ac:dyDescent="0.25">
      <c r="A250" s="22">
        <v>44377</v>
      </c>
      <c r="B250" s="14">
        <v>14500</v>
      </c>
      <c r="D250" s="22">
        <v>44377</v>
      </c>
      <c r="E250" s="15">
        <v>32.040999999999997</v>
      </c>
      <c r="G250" s="22">
        <v>44377</v>
      </c>
      <c r="H250" s="15">
        <v>1.3454999999999999</v>
      </c>
      <c r="J250" s="22">
        <v>44377</v>
      </c>
      <c r="K250" s="14">
        <v>23019</v>
      </c>
      <c r="M250" s="22">
        <v>44377</v>
      </c>
      <c r="N250" s="15">
        <v>1.1849000000000001</v>
      </c>
      <c r="P250" s="22">
        <v>44377</v>
      </c>
      <c r="Q250" s="15">
        <v>0.92549999999999999</v>
      </c>
      <c r="S250" s="22">
        <v>44377</v>
      </c>
      <c r="T250" s="15">
        <v>1.2407999999999999</v>
      </c>
      <c r="V250" s="22">
        <v>44377</v>
      </c>
      <c r="W250" s="15">
        <v>1.3340000000000001</v>
      </c>
      <c r="Y250" s="22">
        <v>44377</v>
      </c>
      <c r="Z250" s="15">
        <v>1.4326000000000001</v>
      </c>
    </row>
    <row r="251" spans="1:26" x14ac:dyDescent="0.25">
      <c r="A251" s="22">
        <v>44407</v>
      </c>
      <c r="B251" s="14">
        <v>14463</v>
      </c>
      <c r="D251" s="22">
        <v>44407</v>
      </c>
      <c r="E251" s="15">
        <v>32.9</v>
      </c>
      <c r="G251" s="22">
        <v>44407</v>
      </c>
      <c r="H251" s="15">
        <v>1.3544</v>
      </c>
      <c r="J251" s="22">
        <v>44407</v>
      </c>
      <c r="K251" s="14">
        <v>22947</v>
      </c>
      <c r="M251" s="22">
        <v>44407</v>
      </c>
      <c r="N251" s="15">
        <v>1.1870000000000001</v>
      </c>
      <c r="P251" s="22">
        <v>44407</v>
      </c>
      <c r="Q251" s="15">
        <v>0.90590000000000004</v>
      </c>
      <c r="S251" s="22">
        <v>44407</v>
      </c>
      <c r="T251" s="15">
        <v>1.2475000000000001</v>
      </c>
      <c r="V251" s="22">
        <v>44407</v>
      </c>
      <c r="W251" s="15">
        <v>1.3614999999999999</v>
      </c>
      <c r="Y251" s="22">
        <v>44407</v>
      </c>
      <c r="Z251" s="15">
        <v>1.4339999999999999</v>
      </c>
    </row>
    <row r="252" spans="1:26" x14ac:dyDescent="0.25">
      <c r="A252" s="22">
        <v>44439</v>
      </c>
      <c r="B252" s="14">
        <v>14268</v>
      </c>
      <c r="D252" s="22">
        <v>44439</v>
      </c>
      <c r="E252" s="15">
        <v>32.250999999999998</v>
      </c>
      <c r="G252" s="22">
        <v>44439</v>
      </c>
      <c r="H252" s="15">
        <v>1.3446</v>
      </c>
      <c r="J252" s="22">
        <v>44439</v>
      </c>
      <c r="K252" s="14">
        <v>22784</v>
      </c>
      <c r="M252" s="22">
        <v>44439</v>
      </c>
      <c r="N252" s="15">
        <v>1.1807000000000001</v>
      </c>
      <c r="P252" s="22">
        <v>44439</v>
      </c>
      <c r="Q252" s="15">
        <v>0.91590000000000005</v>
      </c>
      <c r="S252" s="22">
        <v>44439</v>
      </c>
      <c r="T252" s="15">
        <v>1.2625999999999999</v>
      </c>
      <c r="V252" s="22">
        <v>44439</v>
      </c>
      <c r="W252" s="15">
        <v>1.3677999999999999</v>
      </c>
      <c r="Y252" s="22">
        <v>44439</v>
      </c>
      <c r="Z252" s="15">
        <v>1.4194</v>
      </c>
    </row>
    <row r="253" spans="1:26" x14ac:dyDescent="0.25">
      <c r="A253" s="22">
        <v>44469</v>
      </c>
      <c r="B253" s="14">
        <v>14313</v>
      </c>
      <c r="D253" s="22">
        <v>44469</v>
      </c>
      <c r="E253" s="15">
        <v>33.680999999999997</v>
      </c>
      <c r="G253" s="22">
        <v>44469</v>
      </c>
      <c r="H253" s="15">
        <v>1.3591</v>
      </c>
      <c r="J253" s="22">
        <v>44469</v>
      </c>
      <c r="K253" s="14">
        <v>22761</v>
      </c>
      <c r="M253" s="22">
        <v>44469</v>
      </c>
      <c r="N253" s="15">
        <v>1.1571</v>
      </c>
      <c r="P253" s="22">
        <v>44469</v>
      </c>
      <c r="Q253" s="15">
        <v>0.93410000000000004</v>
      </c>
      <c r="S253" s="22">
        <v>44469</v>
      </c>
      <c r="T253" s="15">
        <v>1.2686999999999999</v>
      </c>
      <c r="V253" s="22">
        <v>44469</v>
      </c>
      <c r="W253" s="15">
        <v>1.3864000000000001</v>
      </c>
      <c r="Y253" s="22">
        <v>44469</v>
      </c>
      <c r="Z253" s="15">
        <v>1.4518</v>
      </c>
    </row>
    <row r="254" spans="1:26" x14ac:dyDescent="0.25">
      <c r="A254" s="22">
        <v>44498</v>
      </c>
      <c r="B254" s="14">
        <v>14168</v>
      </c>
      <c r="D254" s="22">
        <v>44498</v>
      </c>
      <c r="E254" s="15">
        <v>33.280999999999999</v>
      </c>
      <c r="G254" s="22">
        <v>44498</v>
      </c>
      <c r="H254" s="15">
        <v>1.3488</v>
      </c>
      <c r="J254" s="22">
        <v>44498</v>
      </c>
      <c r="K254" s="14">
        <v>22752</v>
      </c>
      <c r="M254" s="22">
        <v>44498</v>
      </c>
      <c r="N254" s="15">
        <v>1.1557999999999999</v>
      </c>
      <c r="P254" s="22">
        <v>44498</v>
      </c>
      <c r="Q254" s="15">
        <v>0.91610000000000003</v>
      </c>
      <c r="S254" s="22">
        <v>44498</v>
      </c>
      <c r="T254" s="15">
        <v>1.2387999999999999</v>
      </c>
      <c r="V254" s="22">
        <v>44498</v>
      </c>
      <c r="W254" s="15">
        <v>1.3301000000000001</v>
      </c>
      <c r="Y254" s="22">
        <v>44498</v>
      </c>
      <c r="Z254" s="15">
        <v>1.3948</v>
      </c>
    </row>
    <row r="255" spans="1:26" x14ac:dyDescent="0.25">
      <c r="A255" s="22">
        <v>44530</v>
      </c>
      <c r="B255" s="14">
        <v>14332</v>
      </c>
      <c r="D255" s="22">
        <v>44530</v>
      </c>
      <c r="E255" s="15">
        <v>33.737000000000002</v>
      </c>
      <c r="G255" s="22">
        <v>44530</v>
      </c>
      <c r="H255" s="15">
        <v>1.3673</v>
      </c>
      <c r="J255" s="22">
        <v>44530</v>
      </c>
      <c r="K255" s="14">
        <v>22729</v>
      </c>
      <c r="M255" s="22">
        <v>44530</v>
      </c>
      <c r="N255" s="15">
        <v>1.1311</v>
      </c>
      <c r="P255" s="22">
        <v>44530</v>
      </c>
      <c r="Q255" s="15">
        <v>0.92030000000000001</v>
      </c>
      <c r="S255" s="22">
        <v>44530</v>
      </c>
      <c r="T255" s="15">
        <v>1.2818000000000001</v>
      </c>
      <c r="V255" s="22">
        <v>44530</v>
      </c>
      <c r="W255" s="15">
        <v>1.4083000000000001</v>
      </c>
      <c r="Y255" s="22">
        <v>44530</v>
      </c>
      <c r="Z255" s="15">
        <v>1.4684999999999999</v>
      </c>
    </row>
    <row r="256" spans="1:26" x14ac:dyDescent="0.25">
      <c r="A256" s="22">
        <v>44561</v>
      </c>
      <c r="B256" s="14">
        <v>14263</v>
      </c>
      <c r="D256" s="22">
        <v>44561</v>
      </c>
      <c r="E256" s="15">
        <v>33.210999999999999</v>
      </c>
      <c r="G256" s="22">
        <v>44561</v>
      </c>
      <c r="H256" s="15">
        <v>1.349</v>
      </c>
      <c r="J256" s="22">
        <v>44561</v>
      </c>
      <c r="K256" s="14">
        <v>22826</v>
      </c>
      <c r="M256" s="22">
        <v>44561</v>
      </c>
      <c r="N256" s="15">
        <v>1.137</v>
      </c>
      <c r="P256" s="22">
        <v>44561</v>
      </c>
      <c r="Q256" s="15">
        <v>0.91290000000000004</v>
      </c>
      <c r="S256" s="22">
        <v>44561</v>
      </c>
      <c r="T256" s="15">
        <v>1.2637</v>
      </c>
      <c r="V256" s="22">
        <v>44561</v>
      </c>
      <c r="W256" s="15">
        <v>1.3769</v>
      </c>
      <c r="Y256" s="22">
        <v>44561</v>
      </c>
      <c r="Z256" s="15">
        <v>1.4621999999999999</v>
      </c>
    </row>
    <row r="257" spans="1:26" x14ac:dyDescent="0.25">
      <c r="A257" s="22">
        <v>44592</v>
      </c>
      <c r="B257" s="14">
        <v>14368</v>
      </c>
      <c r="D257" s="22">
        <v>44592</v>
      </c>
      <c r="E257" s="15">
        <v>33.255000000000003</v>
      </c>
      <c r="G257" s="22">
        <v>44592</v>
      </c>
      <c r="H257" s="15">
        <v>1.3513999999999999</v>
      </c>
      <c r="J257" s="22">
        <v>44592</v>
      </c>
      <c r="K257" s="14">
        <v>22663</v>
      </c>
      <c r="M257" s="22">
        <v>44592</v>
      </c>
      <c r="N257" s="15">
        <v>1.1218999999999999</v>
      </c>
      <c r="P257" s="22">
        <v>44592</v>
      </c>
      <c r="Q257" s="15">
        <v>0.93</v>
      </c>
      <c r="S257" s="22">
        <v>44592</v>
      </c>
      <c r="T257" s="15">
        <v>1.2698</v>
      </c>
      <c r="V257" s="22">
        <v>44592</v>
      </c>
      <c r="W257" s="15">
        <v>1.4159999999999999</v>
      </c>
      <c r="Y257" s="22">
        <v>44592</v>
      </c>
      <c r="Z257" s="15">
        <v>1.5210999999999999</v>
      </c>
    </row>
    <row r="258" spans="1:26" x14ac:dyDescent="0.25">
      <c r="A258" s="22">
        <v>44620</v>
      </c>
      <c r="B258" s="14">
        <v>14382</v>
      </c>
      <c r="D258" s="22">
        <v>44620</v>
      </c>
      <c r="E258" s="15">
        <v>32.689</v>
      </c>
      <c r="G258" s="22">
        <v>44620</v>
      </c>
      <c r="H258" s="15">
        <v>1.3559000000000001</v>
      </c>
      <c r="J258" s="22">
        <v>44620</v>
      </c>
      <c r="K258" s="14">
        <v>22820</v>
      </c>
      <c r="M258" s="22">
        <v>44620</v>
      </c>
      <c r="N258" s="15">
        <v>1.1205000000000001</v>
      </c>
      <c r="P258" s="22">
        <v>44620</v>
      </c>
      <c r="Q258" s="15">
        <v>0.91879999999999995</v>
      </c>
      <c r="S258" s="22">
        <v>44620</v>
      </c>
      <c r="T258" s="15">
        <v>1.2687999999999999</v>
      </c>
      <c r="V258" s="22">
        <v>44620</v>
      </c>
      <c r="W258" s="15">
        <v>1.3791</v>
      </c>
      <c r="Y258" s="22">
        <v>44620</v>
      </c>
      <c r="Z258" s="15">
        <v>1.4796</v>
      </c>
    </row>
    <row r="259" spans="1:26" x14ac:dyDescent="0.25">
      <c r="A259" s="22">
        <v>44651</v>
      </c>
      <c r="B259" s="14">
        <v>14363</v>
      </c>
      <c r="D259" s="22">
        <v>44651</v>
      </c>
      <c r="E259" s="15">
        <v>33.271000000000001</v>
      </c>
      <c r="G259" s="22">
        <v>44651</v>
      </c>
      <c r="H259" s="15">
        <v>1.3544</v>
      </c>
      <c r="J259" s="22">
        <v>44651</v>
      </c>
      <c r="K259" s="14">
        <v>22837</v>
      </c>
      <c r="M259" s="22">
        <v>44651</v>
      </c>
      <c r="N259" s="15">
        <v>1.1082000000000001</v>
      </c>
      <c r="P259" s="22">
        <v>44651</v>
      </c>
      <c r="Q259" s="15">
        <v>0.92220000000000002</v>
      </c>
      <c r="S259" s="22">
        <v>44651</v>
      </c>
      <c r="T259" s="15">
        <v>1.2482</v>
      </c>
      <c r="V259" s="22">
        <v>44651</v>
      </c>
      <c r="W259" s="15">
        <v>1.3340000000000001</v>
      </c>
      <c r="Y259" s="22">
        <v>44651</v>
      </c>
      <c r="Z259" s="15">
        <v>1.4423999999999999</v>
      </c>
    </row>
    <row r="260" spans="1:26" x14ac:dyDescent="0.25">
      <c r="A260" s="22">
        <v>44680</v>
      </c>
      <c r="B260" s="14">
        <v>14482</v>
      </c>
      <c r="D260" s="22">
        <v>44680</v>
      </c>
      <c r="E260" s="15">
        <v>34.281999999999996</v>
      </c>
      <c r="G260" s="22">
        <v>44680</v>
      </c>
      <c r="H260" s="15">
        <v>1.3834</v>
      </c>
      <c r="J260" s="22">
        <v>44680</v>
      </c>
      <c r="K260" s="14">
        <v>22968</v>
      </c>
      <c r="M260" s="22">
        <v>44680</v>
      </c>
      <c r="N260" s="15">
        <v>1.0545</v>
      </c>
      <c r="P260" s="22">
        <v>44680</v>
      </c>
      <c r="Q260" s="15">
        <v>0.9718</v>
      </c>
      <c r="S260" s="22">
        <v>44680</v>
      </c>
      <c r="T260" s="15">
        <v>1.2847999999999999</v>
      </c>
      <c r="V260" s="22">
        <v>44680</v>
      </c>
      <c r="W260" s="15">
        <v>1.4161999999999999</v>
      </c>
      <c r="Y260" s="22">
        <v>44680</v>
      </c>
      <c r="Z260" s="15">
        <v>1.5488</v>
      </c>
    </row>
    <row r="261" spans="1:26" x14ac:dyDescent="0.25">
      <c r="A261" s="22">
        <v>44712</v>
      </c>
      <c r="B261" s="14">
        <v>14578</v>
      </c>
      <c r="D261" s="22">
        <v>44712</v>
      </c>
      <c r="E261" s="15">
        <v>34.277000000000001</v>
      </c>
      <c r="G261" s="22">
        <v>44712</v>
      </c>
      <c r="H261" s="15">
        <v>1.3694999999999999</v>
      </c>
      <c r="J261" s="22">
        <v>44712</v>
      </c>
      <c r="K261" s="14">
        <v>23195</v>
      </c>
      <c r="M261" s="22">
        <v>44712</v>
      </c>
      <c r="N261" s="15">
        <v>1.0730999999999999</v>
      </c>
      <c r="P261" s="22">
        <v>44712</v>
      </c>
      <c r="Q261" s="15">
        <v>0.95840000000000003</v>
      </c>
      <c r="S261" s="22">
        <v>44712</v>
      </c>
      <c r="T261" s="15">
        <v>1.2633000000000001</v>
      </c>
      <c r="V261" s="22">
        <v>44712</v>
      </c>
      <c r="W261" s="15">
        <v>1.3914</v>
      </c>
      <c r="Y261" s="22">
        <v>44712</v>
      </c>
      <c r="Z261" s="15">
        <v>1.5338000000000001</v>
      </c>
    </row>
    <row r="262" spans="1:26" x14ac:dyDescent="0.25">
      <c r="A262" s="22">
        <v>44742</v>
      </c>
      <c r="B262" s="14">
        <v>14903</v>
      </c>
      <c r="D262" s="22">
        <v>44742</v>
      </c>
      <c r="E262" s="15">
        <v>35.307000000000002</v>
      </c>
      <c r="G262" s="22">
        <v>44742</v>
      </c>
      <c r="H262" s="15">
        <v>1.3891</v>
      </c>
      <c r="J262" s="22">
        <v>44742</v>
      </c>
      <c r="K262" s="14">
        <v>23282</v>
      </c>
      <c r="M262" s="22">
        <v>44742</v>
      </c>
      <c r="N262" s="15">
        <v>1.0483</v>
      </c>
      <c r="P262" s="22">
        <v>44742</v>
      </c>
      <c r="Q262" s="15">
        <v>0.95369999999999999</v>
      </c>
      <c r="S262" s="22">
        <v>44742</v>
      </c>
      <c r="T262" s="15">
        <v>1.2871999999999999</v>
      </c>
      <c r="V262" s="22">
        <v>44742</v>
      </c>
      <c r="W262" s="15">
        <v>1.4469000000000001</v>
      </c>
      <c r="Y262" s="22">
        <v>44742</v>
      </c>
      <c r="Z262" s="15">
        <v>1.5998000000000001</v>
      </c>
    </row>
    <row r="263" spans="1:26" x14ac:dyDescent="0.25">
      <c r="A263" s="22">
        <v>44771</v>
      </c>
      <c r="B263" s="14">
        <v>14834</v>
      </c>
      <c r="D263" s="22">
        <v>44771</v>
      </c>
      <c r="E263" s="15">
        <v>36.323</v>
      </c>
      <c r="G263" s="22">
        <v>44771</v>
      </c>
      <c r="H263" s="15">
        <v>1.3805000000000001</v>
      </c>
      <c r="J263" s="22">
        <v>44771</v>
      </c>
      <c r="K263" s="14">
        <v>23343</v>
      </c>
      <c r="M263" s="22">
        <v>44771</v>
      </c>
      <c r="N263" s="15">
        <v>1.022</v>
      </c>
      <c r="P263" s="22">
        <v>44771</v>
      </c>
      <c r="Q263" s="15">
        <v>0.95240000000000002</v>
      </c>
      <c r="S263" s="22">
        <v>44771</v>
      </c>
      <c r="T263" s="15">
        <v>1.2795000000000001</v>
      </c>
      <c r="V263" s="22">
        <v>44771</v>
      </c>
      <c r="W263" s="15">
        <v>1.4315</v>
      </c>
      <c r="Y263" s="22">
        <v>44771</v>
      </c>
      <c r="Z263" s="15">
        <v>1.5944</v>
      </c>
    </row>
    <row r="264" spans="1:26" x14ac:dyDescent="0.25">
      <c r="A264" s="22">
        <v>44804</v>
      </c>
      <c r="B264" s="14">
        <v>14843</v>
      </c>
      <c r="D264" s="22">
        <v>44804</v>
      </c>
      <c r="E264" s="15">
        <v>36.564999999999998</v>
      </c>
      <c r="G264" s="22">
        <v>44804</v>
      </c>
      <c r="H264" s="15">
        <v>1.3962000000000001</v>
      </c>
      <c r="J264" s="22">
        <v>44804</v>
      </c>
      <c r="K264" s="14">
        <v>23451</v>
      </c>
      <c r="M264" s="22">
        <v>44804</v>
      </c>
      <c r="N264" s="15">
        <v>1.0053000000000001</v>
      </c>
      <c r="P264" s="22">
        <v>44804</v>
      </c>
      <c r="Q264" s="15">
        <v>0.97519999999999996</v>
      </c>
      <c r="S264" s="22">
        <v>44804</v>
      </c>
      <c r="T264" s="15">
        <v>1.3095000000000001</v>
      </c>
      <c r="V264" s="22">
        <v>44804</v>
      </c>
      <c r="W264" s="15">
        <v>1.4584999999999999</v>
      </c>
      <c r="Y264" s="22">
        <v>44804</v>
      </c>
      <c r="Z264" s="15">
        <v>1.6315999999999999</v>
      </c>
    </row>
    <row r="265" spans="1:26" x14ac:dyDescent="0.25">
      <c r="A265" s="22">
        <v>44834</v>
      </c>
      <c r="B265" s="14">
        <v>15227</v>
      </c>
      <c r="D265" s="22">
        <v>44834</v>
      </c>
      <c r="E265" s="15">
        <v>37.847000000000001</v>
      </c>
      <c r="G265" s="22">
        <v>44834</v>
      </c>
      <c r="H265" s="15">
        <v>1.4353</v>
      </c>
      <c r="J265" s="22">
        <v>44834</v>
      </c>
      <c r="K265" s="14">
        <v>23861</v>
      </c>
      <c r="M265" s="22">
        <v>44834</v>
      </c>
      <c r="N265" s="15">
        <v>0.98019999999999996</v>
      </c>
      <c r="P265" s="22">
        <v>44834</v>
      </c>
      <c r="Q265" s="15">
        <v>0.98699999999999999</v>
      </c>
      <c r="S265" s="22">
        <v>44834</v>
      </c>
      <c r="T265" s="15">
        <v>1.3829</v>
      </c>
      <c r="V265" s="22">
        <v>44834</v>
      </c>
      <c r="W265" s="15">
        <v>1.5624</v>
      </c>
      <c r="Y265" s="22">
        <v>44834</v>
      </c>
      <c r="Z265" s="15">
        <v>1.7858000000000001</v>
      </c>
    </row>
    <row r="266" spans="1:26" x14ac:dyDescent="0.25">
      <c r="A266" s="22">
        <v>44865</v>
      </c>
      <c r="B266" s="14">
        <v>15598</v>
      </c>
      <c r="D266" s="22">
        <v>44865</v>
      </c>
      <c r="E266" s="15">
        <v>38.067999999999998</v>
      </c>
      <c r="G266" s="22">
        <v>44865</v>
      </c>
      <c r="H266" s="15">
        <v>1.4147000000000001</v>
      </c>
      <c r="J266" s="22">
        <v>44865</v>
      </c>
      <c r="K266" s="14">
        <v>24838</v>
      </c>
      <c r="M266" s="22">
        <v>44865</v>
      </c>
      <c r="N266" s="15">
        <v>0.98870000000000002</v>
      </c>
      <c r="P266" s="22">
        <v>44865</v>
      </c>
      <c r="Q266" s="15">
        <v>1.0009999999999999</v>
      </c>
      <c r="S266" s="22">
        <v>44865</v>
      </c>
      <c r="T266" s="15">
        <v>1.3638999999999999</v>
      </c>
      <c r="V266" s="22">
        <v>44865</v>
      </c>
      <c r="W266" s="15">
        <v>1.5636000000000001</v>
      </c>
      <c r="Y266" s="22">
        <v>44865</v>
      </c>
      <c r="Z266" s="15">
        <v>1.7195</v>
      </c>
    </row>
    <row r="267" spans="1:26" x14ac:dyDescent="0.25">
      <c r="A267" s="22">
        <v>44895</v>
      </c>
      <c r="B267" s="14">
        <v>15732</v>
      </c>
      <c r="D267" s="22">
        <v>44895</v>
      </c>
      <c r="E267" s="15">
        <v>35.286999999999999</v>
      </c>
      <c r="G267" s="22">
        <v>44895</v>
      </c>
      <c r="H267" s="15">
        <v>1.369</v>
      </c>
      <c r="J267" s="22">
        <v>44895</v>
      </c>
      <c r="K267" s="14">
        <v>24702</v>
      </c>
      <c r="M267" s="22">
        <v>44895</v>
      </c>
      <c r="N267" s="15">
        <v>1.0315000000000001</v>
      </c>
      <c r="P267" s="22">
        <v>44895</v>
      </c>
      <c r="Q267" s="15">
        <v>0.95140000000000002</v>
      </c>
      <c r="S267" s="22">
        <v>44895</v>
      </c>
      <c r="T267" s="15">
        <v>1.3533999999999999</v>
      </c>
      <c r="V267" s="22">
        <v>44895</v>
      </c>
      <c r="W267" s="15">
        <v>1.49</v>
      </c>
      <c r="Y267" s="22">
        <v>44895</v>
      </c>
      <c r="Z267" s="15">
        <v>1.6036999999999999</v>
      </c>
    </row>
    <row r="268" spans="1:26" x14ac:dyDescent="0.25">
      <c r="A268" s="22">
        <v>44925</v>
      </c>
      <c r="B268" s="14">
        <v>15573</v>
      </c>
      <c r="D268" s="22">
        <v>44925</v>
      </c>
      <c r="E268" s="15">
        <v>34.607999999999997</v>
      </c>
      <c r="G268" s="22">
        <v>44925</v>
      </c>
      <c r="H268" s="15">
        <v>1.3394999999999999</v>
      </c>
      <c r="J268" s="22">
        <v>44925</v>
      </c>
      <c r="K268" s="14">
        <v>23633</v>
      </c>
      <c r="M268" s="22">
        <v>44925</v>
      </c>
      <c r="N268" s="15">
        <v>1.0705</v>
      </c>
      <c r="P268" s="22">
        <v>44925</v>
      </c>
      <c r="Q268" s="15">
        <v>0.92449999999999999</v>
      </c>
      <c r="S268" s="22">
        <v>44925</v>
      </c>
      <c r="T268" s="15">
        <v>1.3553999999999999</v>
      </c>
      <c r="V268" s="22">
        <v>44925</v>
      </c>
      <c r="W268" s="15">
        <v>1.4678</v>
      </c>
      <c r="Y268" s="22">
        <v>44925</v>
      </c>
      <c r="Z268" s="15">
        <v>1.5748</v>
      </c>
    </row>
    <row r="269" spans="1:26" x14ac:dyDescent="0.25">
      <c r="A269" s="22">
        <v>44957</v>
      </c>
      <c r="B269" s="14">
        <v>14991</v>
      </c>
      <c r="D269" s="22">
        <v>44957</v>
      </c>
      <c r="E269" s="15">
        <v>32.832999999999998</v>
      </c>
      <c r="G269" s="22">
        <v>44957</v>
      </c>
      <c r="H269" s="15">
        <v>1.3142</v>
      </c>
      <c r="J269" s="22">
        <v>44957</v>
      </c>
      <c r="K269" s="14">
        <v>23450</v>
      </c>
      <c r="M269" s="22">
        <v>44957</v>
      </c>
      <c r="N269" s="15">
        <v>1.0865</v>
      </c>
      <c r="P269" s="22">
        <v>44957</v>
      </c>
      <c r="Q269" s="15">
        <v>0.91749999999999998</v>
      </c>
      <c r="S269" s="22">
        <v>44957</v>
      </c>
      <c r="T269" s="15">
        <v>1.3322000000000001</v>
      </c>
      <c r="V269" s="22">
        <v>44957</v>
      </c>
      <c r="W269" s="15">
        <v>1.4187000000000001</v>
      </c>
      <c r="Y269" s="22">
        <v>44957</v>
      </c>
      <c r="Z269" s="15">
        <v>1.5490999999999999</v>
      </c>
    </row>
    <row r="270" spans="1:26" x14ac:dyDescent="0.25">
      <c r="A270" s="22">
        <v>44985</v>
      </c>
      <c r="B270" s="14">
        <v>15261</v>
      </c>
      <c r="D270" s="22">
        <v>44985</v>
      </c>
      <c r="E270" s="15">
        <v>35.186999999999998</v>
      </c>
      <c r="G270" s="22">
        <v>44985</v>
      </c>
      <c r="H270" s="15">
        <v>1.3465</v>
      </c>
      <c r="J270" s="22">
        <v>44985</v>
      </c>
      <c r="K270" s="14">
        <v>23791</v>
      </c>
      <c r="M270" s="22">
        <v>44985</v>
      </c>
      <c r="N270" s="15">
        <v>1.0606</v>
      </c>
      <c r="P270" s="22">
        <v>44985</v>
      </c>
      <c r="Q270" s="15">
        <v>0.93730000000000002</v>
      </c>
      <c r="S270" s="22">
        <v>44985</v>
      </c>
      <c r="T270" s="15">
        <v>1.3616999999999999</v>
      </c>
      <c r="V270" s="22">
        <v>44985</v>
      </c>
      <c r="W270" s="15">
        <v>1.4810000000000001</v>
      </c>
      <c r="Y270" s="22">
        <v>44985</v>
      </c>
      <c r="Z270" s="15">
        <v>1.6123000000000001</v>
      </c>
    </row>
    <row r="271" spans="1:26" x14ac:dyDescent="0.25">
      <c r="A271" s="22">
        <v>45016</v>
      </c>
      <c r="B271" s="14">
        <v>14996</v>
      </c>
      <c r="D271" s="22">
        <v>45016</v>
      </c>
      <c r="E271" s="15">
        <v>34.143000000000001</v>
      </c>
      <c r="G271" s="22">
        <v>45016</v>
      </c>
      <c r="H271" s="15">
        <v>1.3309</v>
      </c>
      <c r="J271" s="22">
        <v>45016</v>
      </c>
      <c r="K271" s="14">
        <v>23471</v>
      </c>
      <c r="M271" s="22">
        <v>45016</v>
      </c>
      <c r="N271" s="15">
        <v>1.0839000000000001</v>
      </c>
      <c r="P271" s="22">
        <v>45016</v>
      </c>
      <c r="Q271" s="15">
        <v>0.9153</v>
      </c>
      <c r="S271" s="22">
        <v>45016</v>
      </c>
      <c r="T271" s="15">
        <v>1.3515999999999999</v>
      </c>
      <c r="V271" s="22">
        <v>45016</v>
      </c>
      <c r="W271" s="15">
        <v>1.4958</v>
      </c>
      <c r="Y271" s="22">
        <v>45016</v>
      </c>
      <c r="Z271" s="15">
        <v>1.5980000000000001</v>
      </c>
    </row>
    <row r="272" spans="1:26" x14ac:dyDescent="0.25">
      <c r="A272" s="22">
        <v>45044</v>
      </c>
      <c r="B272" s="14">
        <v>14674</v>
      </c>
      <c r="D272" s="22">
        <v>45044</v>
      </c>
      <c r="E272" s="15">
        <v>34.158999999999999</v>
      </c>
      <c r="G272" s="22">
        <v>45044</v>
      </c>
      <c r="H272" s="15">
        <v>1.3344</v>
      </c>
      <c r="J272" s="22">
        <v>45044</v>
      </c>
      <c r="K272" s="14">
        <v>23459</v>
      </c>
      <c r="M272" s="22">
        <v>45044</v>
      </c>
      <c r="N272" s="15">
        <v>1.1019000000000001</v>
      </c>
      <c r="P272" s="22">
        <v>45044</v>
      </c>
      <c r="Q272" s="15">
        <v>0.89459999999999995</v>
      </c>
      <c r="S272" s="22">
        <v>45044</v>
      </c>
      <c r="T272" s="15">
        <v>1.3552</v>
      </c>
      <c r="V272" s="22">
        <v>45044</v>
      </c>
      <c r="W272" s="15">
        <v>1.5117</v>
      </c>
      <c r="Y272" s="22">
        <v>45044</v>
      </c>
      <c r="Z272" s="15">
        <v>1.6176999999999999</v>
      </c>
    </row>
    <row r="273" spans="1:26" x14ac:dyDescent="0.25">
      <c r="A273" s="22">
        <v>45077</v>
      </c>
      <c r="B273" s="14">
        <v>14994</v>
      </c>
      <c r="D273" s="22">
        <v>45077</v>
      </c>
      <c r="E273" s="15">
        <v>34.764000000000003</v>
      </c>
      <c r="G273" s="22">
        <v>45077</v>
      </c>
      <c r="H273" s="15">
        <v>1.3559000000000001</v>
      </c>
      <c r="J273" s="22">
        <v>45077</v>
      </c>
      <c r="K273" s="14">
        <v>23490</v>
      </c>
      <c r="M273" s="22">
        <v>45077</v>
      </c>
      <c r="N273" s="15">
        <v>1.0638000000000001</v>
      </c>
      <c r="P273" s="22">
        <v>45077</v>
      </c>
      <c r="Q273" s="15">
        <v>0.9143</v>
      </c>
      <c r="S273" s="22">
        <v>45077</v>
      </c>
      <c r="T273" s="15">
        <v>1.3604000000000001</v>
      </c>
      <c r="V273" s="22">
        <v>45077</v>
      </c>
      <c r="W273" s="15">
        <v>1.5468</v>
      </c>
      <c r="Y273" s="22">
        <v>45077</v>
      </c>
      <c r="Z273" s="15">
        <v>1.6687000000000001</v>
      </c>
    </row>
    <row r="274" spans="1:26" x14ac:dyDescent="0.25">
      <c r="A274" s="22">
        <v>45107</v>
      </c>
      <c r="B274" s="14">
        <v>15066</v>
      </c>
      <c r="D274" s="22">
        <v>45107</v>
      </c>
      <c r="E274" s="15">
        <v>35.281999999999996</v>
      </c>
      <c r="G274" s="22">
        <v>45107</v>
      </c>
      <c r="H274" s="15">
        <v>1.3524</v>
      </c>
      <c r="J274" s="22">
        <v>45107</v>
      </c>
      <c r="K274" s="14">
        <v>23583</v>
      </c>
      <c r="M274" s="22">
        <v>45107</v>
      </c>
      <c r="N274" s="15">
        <v>1.0909</v>
      </c>
      <c r="P274" s="22">
        <v>45107</v>
      </c>
      <c r="Q274" s="15">
        <v>0.89559999999999995</v>
      </c>
      <c r="S274" s="22">
        <v>45107</v>
      </c>
      <c r="T274" s="15">
        <v>1.3242</v>
      </c>
      <c r="V274" s="22">
        <v>45107</v>
      </c>
      <c r="W274" s="15">
        <v>1.5005999999999999</v>
      </c>
      <c r="Y274" s="22">
        <v>45107</v>
      </c>
      <c r="Z274" s="15">
        <v>1.6327</v>
      </c>
    </row>
    <row r="275" spans="1:26" x14ac:dyDescent="0.25">
      <c r="A275" s="22">
        <v>45138</v>
      </c>
      <c r="B275" s="14">
        <v>15080</v>
      </c>
      <c r="D275" s="22">
        <v>45138</v>
      </c>
      <c r="E275" s="15">
        <v>34.107999999999997</v>
      </c>
      <c r="G275" s="22">
        <v>45138</v>
      </c>
      <c r="H275" s="15">
        <v>1.3284</v>
      </c>
      <c r="J275" s="22">
        <v>45138</v>
      </c>
      <c r="K275" s="14">
        <v>23689</v>
      </c>
      <c r="M275" s="22">
        <v>45138</v>
      </c>
      <c r="N275" s="15">
        <v>1.1007</v>
      </c>
      <c r="P275" s="22">
        <v>45138</v>
      </c>
      <c r="Q275" s="15">
        <v>0.86950000000000005</v>
      </c>
      <c r="S275" s="22">
        <v>45138</v>
      </c>
      <c r="T275" s="15">
        <v>1.3165</v>
      </c>
      <c r="V275" s="22">
        <v>45138</v>
      </c>
      <c r="W275" s="15">
        <v>1.4871000000000001</v>
      </c>
      <c r="Y275" s="22">
        <v>45138</v>
      </c>
      <c r="Z275" s="15">
        <v>1.6074999999999999</v>
      </c>
    </row>
    <row r="276" spans="1:26" x14ac:dyDescent="0.25">
      <c r="A276" s="22">
        <v>45169</v>
      </c>
      <c r="B276" s="14">
        <v>15230</v>
      </c>
      <c r="D276" s="22">
        <v>45169</v>
      </c>
      <c r="E276" s="15">
        <v>35.008000000000003</v>
      </c>
      <c r="G276" s="22">
        <v>45169</v>
      </c>
      <c r="H276" s="15">
        <v>1.3521000000000001</v>
      </c>
      <c r="J276" s="22">
        <v>45169</v>
      </c>
      <c r="K276" s="14">
        <v>24085</v>
      </c>
      <c r="M276" s="22">
        <v>45169</v>
      </c>
      <c r="N276" s="15">
        <v>1.0839000000000001</v>
      </c>
      <c r="P276" s="22">
        <v>45169</v>
      </c>
      <c r="Q276" s="15">
        <v>0.88290000000000002</v>
      </c>
      <c r="S276" s="22">
        <v>45169</v>
      </c>
      <c r="T276" s="15">
        <v>1.3546</v>
      </c>
      <c r="V276" s="22">
        <v>45169</v>
      </c>
      <c r="W276" s="15">
        <v>1.5455000000000001</v>
      </c>
      <c r="Y276" s="22">
        <v>45169</v>
      </c>
      <c r="Z276" s="15">
        <v>1.6806000000000001</v>
      </c>
    </row>
    <row r="277" spans="1:26" x14ac:dyDescent="0.25">
      <c r="A277" s="22">
        <v>45198</v>
      </c>
      <c r="B277" s="14">
        <v>15460</v>
      </c>
      <c r="D277" s="22">
        <v>45198</v>
      </c>
      <c r="E277" s="15">
        <v>36.570999999999998</v>
      </c>
      <c r="G277" s="22">
        <v>45198</v>
      </c>
      <c r="H277" s="15">
        <v>1.3662000000000001</v>
      </c>
      <c r="J277" s="22">
        <v>45198</v>
      </c>
      <c r="K277" s="14">
        <v>24305</v>
      </c>
      <c r="M277" s="22">
        <v>45198</v>
      </c>
      <c r="N277" s="15">
        <v>1.0572999999999999</v>
      </c>
      <c r="P277" s="22">
        <v>45198</v>
      </c>
      <c r="Q277" s="15">
        <v>0.9153</v>
      </c>
      <c r="S277" s="22">
        <v>45198</v>
      </c>
      <c r="T277" s="15">
        <v>1.3576999999999999</v>
      </c>
      <c r="V277" s="22">
        <v>45198</v>
      </c>
      <c r="W277" s="15">
        <v>1.554</v>
      </c>
      <c r="Y277" s="22">
        <v>45198</v>
      </c>
      <c r="Z277" s="15">
        <v>1.6673</v>
      </c>
    </row>
    <row r="278" spans="1:26" x14ac:dyDescent="0.25">
      <c r="A278" s="22">
        <v>45230</v>
      </c>
      <c r="B278" s="14">
        <v>15885</v>
      </c>
      <c r="D278" s="22">
        <v>45230</v>
      </c>
      <c r="E278" s="15">
        <v>36.104999999999997</v>
      </c>
      <c r="G278" s="22">
        <v>45230</v>
      </c>
      <c r="H278" s="15">
        <v>1.3696999999999999</v>
      </c>
      <c r="J278" s="22">
        <v>45230</v>
      </c>
      <c r="K278" s="14">
        <v>24565</v>
      </c>
      <c r="M278" s="22">
        <v>45230</v>
      </c>
      <c r="N278" s="15">
        <v>1.0575000000000001</v>
      </c>
      <c r="P278" s="22">
        <v>45230</v>
      </c>
      <c r="Q278" s="15">
        <v>0.90959999999999996</v>
      </c>
      <c r="S278" s="22">
        <v>45230</v>
      </c>
      <c r="T278" s="15">
        <v>1.3878999999999999</v>
      </c>
      <c r="V278" s="22">
        <v>45230</v>
      </c>
      <c r="W278" s="15">
        <v>1.5774999999999999</v>
      </c>
      <c r="Y278" s="22">
        <v>45230</v>
      </c>
      <c r="Z278" s="15">
        <v>1.7186999999999999</v>
      </c>
    </row>
    <row r="279" spans="1:26" x14ac:dyDescent="0.25">
      <c r="A279" s="22">
        <v>45260</v>
      </c>
      <c r="B279" s="14">
        <v>15510</v>
      </c>
      <c r="D279" s="22">
        <v>45260</v>
      </c>
      <c r="E279" s="15">
        <v>35.256</v>
      </c>
      <c r="G279" s="22">
        <v>45260</v>
      </c>
      <c r="H279" s="15">
        <v>1.3373999999999999</v>
      </c>
      <c r="J279" s="22">
        <v>45260</v>
      </c>
      <c r="K279" s="14">
        <v>24261</v>
      </c>
      <c r="M279" s="22">
        <v>45260</v>
      </c>
      <c r="N279" s="15">
        <v>1.089</v>
      </c>
      <c r="P279" s="22">
        <v>45260</v>
      </c>
      <c r="Q279" s="15">
        <v>0.87490000000000001</v>
      </c>
      <c r="S279" s="22">
        <v>45260</v>
      </c>
      <c r="T279" s="15">
        <v>1.3585</v>
      </c>
      <c r="V279" s="22">
        <v>45260</v>
      </c>
      <c r="W279" s="15">
        <v>1.514</v>
      </c>
      <c r="Y279" s="22">
        <v>45260</v>
      </c>
      <c r="Z279" s="15">
        <v>1.6251</v>
      </c>
    </row>
    <row r="280" spans="1:26" x14ac:dyDescent="0.25">
      <c r="A280" s="22">
        <v>45289</v>
      </c>
      <c r="B280" s="14">
        <v>15399</v>
      </c>
      <c r="D280" s="22">
        <v>45289</v>
      </c>
      <c r="E280" s="15">
        <v>34.256</v>
      </c>
      <c r="G280" s="22">
        <v>45289</v>
      </c>
      <c r="H280" s="15">
        <v>1.3203</v>
      </c>
      <c r="J280" s="22">
        <v>45289</v>
      </c>
      <c r="K280" s="14">
        <v>24269</v>
      </c>
      <c r="M280" s="22">
        <v>45289</v>
      </c>
      <c r="N280" s="15">
        <v>1.1039000000000001</v>
      </c>
      <c r="P280" s="22">
        <v>45289</v>
      </c>
      <c r="Q280" s="15">
        <v>0.84140000000000004</v>
      </c>
      <c r="S280" s="22">
        <v>45289</v>
      </c>
      <c r="T280" s="15">
        <v>1.3243</v>
      </c>
      <c r="V280" s="22">
        <v>45289</v>
      </c>
      <c r="W280" s="15">
        <v>1.4681</v>
      </c>
      <c r="Y280" s="22">
        <v>45289</v>
      </c>
      <c r="Z280" s="15">
        <v>1.5825</v>
      </c>
    </row>
    <row r="281" spans="1:26" x14ac:dyDescent="0.25">
      <c r="A281" s="22">
        <v>45322</v>
      </c>
      <c r="B281" s="14">
        <v>15783</v>
      </c>
      <c r="D281" s="22">
        <v>45322</v>
      </c>
      <c r="E281" s="15">
        <v>35.417999999999999</v>
      </c>
      <c r="G281" s="22">
        <v>45322</v>
      </c>
      <c r="H281" s="15">
        <v>1.3378000000000001</v>
      </c>
      <c r="J281" s="22">
        <v>45322</v>
      </c>
      <c r="K281" s="14">
        <v>24425</v>
      </c>
      <c r="M281" s="22">
        <v>45322</v>
      </c>
      <c r="N281" s="15">
        <v>1.085</v>
      </c>
      <c r="P281" s="22">
        <v>45322</v>
      </c>
      <c r="Q281" s="15">
        <v>0.85970000000000002</v>
      </c>
      <c r="S281" s="22">
        <v>45322</v>
      </c>
      <c r="T281" s="15">
        <v>1.3392999999999999</v>
      </c>
      <c r="V281" s="22">
        <v>45322</v>
      </c>
      <c r="W281" s="15">
        <v>1.5162</v>
      </c>
      <c r="Y281" s="22">
        <v>45322</v>
      </c>
      <c r="Z281" s="15">
        <v>1.6287</v>
      </c>
    </row>
    <row r="282" spans="1:26" x14ac:dyDescent="0.25">
      <c r="A282" s="22">
        <v>45351</v>
      </c>
      <c r="B282" s="14">
        <v>15719</v>
      </c>
      <c r="D282" s="22">
        <v>45351</v>
      </c>
      <c r="E282" s="15">
        <v>35.871000000000002</v>
      </c>
      <c r="G282" s="22">
        <v>45351</v>
      </c>
      <c r="H282" s="15">
        <v>1.3463000000000001</v>
      </c>
      <c r="J282" s="22">
        <v>45351</v>
      </c>
      <c r="K282" s="14">
        <v>24648</v>
      </c>
      <c r="M282" s="22">
        <v>45351</v>
      </c>
      <c r="N282" s="15">
        <v>1.08</v>
      </c>
      <c r="P282" s="22">
        <v>45351</v>
      </c>
      <c r="Q282" s="15">
        <v>0.88390000000000002</v>
      </c>
      <c r="S282" s="22">
        <v>45351</v>
      </c>
      <c r="T282" s="15">
        <v>1.3577999999999999</v>
      </c>
      <c r="V282" s="22">
        <v>45351</v>
      </c>
      <c r="W282" s="15">
        <v>1.5398000000000001</v>
      </c>
      <c r="Y282" s="22">
        <v>45351</v>
      </c>
      <c r="Z282" s="15">
        <v>1.6444000000000001</v>
      </c>
    </row>
    <row r="283" spans="1:26" x14ac:dyDescent="0.25">
      <c r="A283" s="22">
        <v>45380</v>
      </c>
      <c r="B283" s="14">
        <v>15857</v>
      </c>
      <c r="D283" s="22">
        <v>45380</v>
      </c>
      <c r="E283" s="15">
        <v>36.347999999999999</v>
      </c>
      <c r="G283" s="22">
        <v>45380</v>
      </c>
      <c r="H283" s="15">
        <v>1.3492999999999999</v>
      </c>
      <c r="J283" s="22">
        <v>45380</v>
      </c>
      <c r="K283" s="14">
        <v>24791</v>
      </c>
      <c r="M283" s="22">
        <v>45380</v>
      </c>
      <c r="N283" s="15">
        <v>1.079</v>
      </c>
      <c r="P283" s="22">
        <v>45380</v>
      </c>
      <c r="Q283" s="15">
        <v>0.90139999999999998</v>
      </c>
      <c r="S283" s="22">
        <v>45380</v>
      </c>
      <c r="T283" s="15">
        <v>1.3540000000000001</v>
      </c>
      <c r="V283" s="22">
        <v>45380</v>
      </c>
      <c r="W283" s="15">
        <v>1.5336000000000001</v>
      </c>
      <c r="Y283" s="22">
        <v>45380</v>
      </c>
      <c r="Z283" s="15">
        <v>1.6720999999999999</v>
      </c>
    </row>
    <row r="284" spans="1:26" x14ac:dyDescent="0.25">
      <c r="A284" s="22">
        <v>45412</v>
      </c>
      <c r="B284" s="14">
        <v>16259</v>
      </c>
      <c r="D284" s="22">
        <v>45412</v>
      </c>
      <c r="E284" s="15">
        <v>37.167999999999999</v>
      </c>
      <c r="G284" s="22">
        <v>45412</v>
      </c>
      <c r="H284" s="15">
        <v>1.3640000000000001</v>
      </c>
      <c r="J284" s="22">
        <v>45412</v>
      </c>
      <c r="K284" s="14">
        <v>25335</v>
      </c>
      <c r="M284" s="22">
        <v>45412</v>
      </c>
      <c r="N284" s="15">
        <v>1.0679000000000001</v>
      </c>
      <c r="P284" s="22">
        <v>45412</v>
      </c>
      <c r="Q284" s="15">
        <v>0.91769999999999996</v>
      </c>
      <c r="S284" s="22">
        <v>45412</v>
      </c>
      <c r="T284" s="15">
        <v>1.3754999999999999</v>
      </c>
      <c r="V284" s="22">
        <v>45412</v>
      </c>
      <c r="W284" s="15">
        <v>1.5415000000000001</v>
      </c>
      <c r="Y284" s="22">
        <v>45412</v>
      </c>
      <c r="Z284" s="15">
        <v>1.6935</v>
      </c>
    </row>
    <row r="285" spans="1:26" x14ac:dyDescent="0.25">
      <c r="A285" s="22">
        <v>45443</v>
      </c>
      <c r="B285" s="14">
        <v>16253</v>
      </c>
      <c r="D285" s="22">
        <v>45443</v>
      </c>
      <c r="E285" s="15">
        <v>36.828000000000003</v>
      </c>
      <c r="G285" s="22">
        <v>45443</v>
      </c>
      <c r="H285" s="15">
        <v>1.3512</v>
      </c>
      <c r="J285" s="22">
        <v>45443</v>
      </c>
      <c r="K285" s="14">
        <v>25450</v>
      </c>
      <c r="M285" s="22">
        <v>45443</v>
      </c>
      <c r="N285" s="15">
        <v>1.0848</v>
      </c>
      <c r="P285" s="22">
        <v>45443</v>
      </c>
      <c r="Q285" s="15">
        <v>0.90229999999999999</v>
      </c>
      <c r="S285" s="22">
        <v>45443</v>
      </c>
      <c r="T285" s="15">
        <v>1.3628</v>
      </c>
      <c r="V285" s="22">
        <v>45443</v>
      </c>
      <c r="W285" s="15">
        <v>1.5031000000000001</v>
      </c>
      <c r="Y285" s="22">
        <v>45443</v>
      </c>
      <c r="Z285" s="15">
        <v>1.6277999999999999</v>
      </c>
    </row>
    <row r="286" spans="1:26" x14ac:dyDescent="0.25">
      <c r="A286" s="22">
        <v>45471</v>
      </c>
      <c r="B286" s="14">
        <v>16375</v>
      </c>
      <c r="D286" s="22">
        <v>45471</v>
      </c>
      <c r="E286" s="15">
        <v>36.759</v>
      </c>
      <c r="G286" s="22">
        <v>45471</v>
      </c>
      <c r="H286" s="15">
        <v>1.3560000000000001</v>
      </c>
      <c r="J286" s="22">
        <v>45471</v>
      </c>
      <c r="K286" s="14">
        <v>25455</v>
      </c>
      <c r="M286" s="22">
        <v>45471</v>
      </c>
      <c r="N286" s="15">
        <v>1.0712999999999999</v>
      </c>
      <c r="P286" s="22">
        <v>45471</v>
      </c>
      <c r="Q286" s="15">
        <v>0.89880000000000004</v>
      </c>
      <c r="S286" s="22">
        <v>45471</v>
      </c>
      <c r="T286" s="15">
        <v>1.3678999999999999</v>
      </c>
      <c r="V286" s="22">
        <v>45471</v>
      </c>
      <c r="W286" s="15">
        <v>1.4993000000000001</v>
      </c>
      <c r="Y286" s="22">
        <v>45471</v>
      </c>
      <c r="Z286" s="15">
        <v>1.6415999999999999</v>
      </c>
    </row>
    <row r="287" spans="1:26" x14ac:dyDescent="0.25">
      <c r="A287" s="22">
        <v>45504</v>
      </c>
      <c r="B287" s="14">
        <v>16260</v>
      </c>
      <c r="D287" s="22">
        <v>45504</v>
      </c>
      <c r="E287" s="15">
        <v>35.582999999999998</v>
      </c>
      <c r="G287" s="22">
        <v>45504</v>
      </c>
      <c r="H287" s="15">
        <v>1.3379000000000001</v>
      </c>
      <c r="J287" s="22">
        <v>45504</v>
      </c>
      <c r="K287" s="14">
        <v>25248</v>
      </c>
      <c r="M287" s="22">
        <v>45504</v>
      </c>
      <c r="N287" s="15">
        <v>1.0809</v>
      </c>
      <c r="P287" s="22">
        <v>45504</v>
      </c>
      <c r="Q287" s="15">
        <v>0.88049999999999995</v>
      </c>
      <c r="S287" s="22">
        <v>45504</v>
      </c>
      <c r="T287" s="15">
        <v>1.3808</v>
      </c>
      <c r="V287" s="22">
        <v>45504</v>
      </c>
      <c r="W287" s="15">
        <v>1.5310999999999999</v>
      </c>
      <c r="Y287" s="22">
        <v>45504</v>
      </c>
      <c r="Z287" s="15">
        <v>1.6823999999999999</v>
      </c>
    </row>
    <row r="288" spans="1:26" x14ac:dyDescent="0.25">
      <c r="A288" s="22">
        <v>45534</v>
      </c>
      <c r="B288" s="14">
        <v>15455</v>
      </c>
      <c r="D288" s="22">
        <v>45534</v>
      </c>
      <c r="E288" s="15">
        <v>34.042000000000002</v>
      </c>
      <c r="G288" s="22">
        <v>45534</v>
      </c>
      <c r="H288" s="15">
        <v>1.3067</v>
      </c>
      <c r="J288" s="22">
        <v>45534</v>
      </c>
      <c r="K288" s="14">
        <v>24875</v>
      </c>
      <c r="M288" s="22">
        <v>45534</v>
      </c>
      <c r="N288" s="15">
        <v>1.1048</v>
      </c>
      <c r="P288" s="22">
        <v>45534</v>
      </c>
      <c r="Q288" s="15">
        <v>0.84960000000000002</v>
      </c>
      <c r="S288" s="22">
        <v>45534</v>
      </c>
      <c r="T288" s="15">
        <v>1.3492</v>
      </c>
      <c r="V288" s="22">
        <v>45534</v>
      </c>
      <c r="W288" s="15">
        <v>1.4782999999999999</v>
      </c>
      <c r="Y288" s="22">
        <v>45534</v>
      </c>
      <c r="Z288" s="15">
        <v>1.6002000000000001</v>
      </c>
    </row>
    <row r="289" spans="1:26" x14ac:dyDescent="0.25">
      <c r="A289" s="22">
        <v>45565</v>
      </c>
      <c r="B289" s="14">
        <v>15140</v>
      </c>
      <c r="D289" s="22">
        <v>45565</v>
      </c>
      <c r="E289" s="15">
        <v>32.347999999999999</v>
      </c>
      <c r="G289" s="22">
        <v>45565</v>
      </c>
      <c r="H289" s="15">
        <v>1.2829999999999999</v>
      </c>
      <c r="J289" s="22">
        <v>45565</v>
      </c>
      <c r="K289" s="14">
        <v>24568</v>
      </c>
      <c r="M289" s="22">
        <v>45565</v>
      </c>
      <c r="N289" s="15">
        <v>1.1148</v>
      </c>
      <c r="P289" s="22">
        <v>45565</v>
      </c>
      <c r="Q289" s="15">
        <v>0.84450000000000003</v>
      </c>
      <c r="S289" s="22">
        <v>45565</v>
      </c>
      <c r="T289" s="15">
        <v>1.3507</v>
      </c>
      <c r="V289" s="22">
        <v>45565</v>
      </c>
      <c r="W289" s="15">
        <v>1.4411</v>
      </c>
      <c r="Y289" s="22">
        <v>45565</v>
      </c>
      <c r="Z289" s="15">
        <v>1.5690999999999999</v>
      </c>
    </row>
    <row r="290" spans="1:26" x14ac:dyDescent="0.25">
      <c r="A290" s="22">
        <v>45596</v>
      </c>
      <c r="B290" s="14">
        <v>15698</v>
      </c>
      <c r="D290" s="22">
        <v>45596</v>
      </c>
      <c r="E290" s="15">
        <v>33.826000000000001</v>
      </c>
      <c r="G290" s="22">
        <v>45596</v>
      </c>
      <c r="H290" s="15">
        <v>1.3220000000000001</v>
      </c>
      <c r="J290" s="22">
        <v>45596</v>
      </c>
      <c r="K290" s="14">
        <v>25280</v>
      </c>
      <c r="M290" s="22">
        <v>45596</v>
      </c>
      <c r="N290" s="15">
        <v>1.0862000000000001</v>
      </c>
      <c r="P290" s="22">
        <v>45596</v>
      </c>
      <c r="Q290" s="15">
        <v>0.86529999999999996</v>
      </c>
      <c r="S290" s="22">
        <v>45596</v>
      </c>
      <c r="T290" s="15">
        <v>1.3923000000000001</v>
      </c>
      <c r="V290" s="22">
        <v>45596</v>
      </c>
      <c r="W290" s="15">
        <v>1.5226999999999999</v>
      </c>
      <c r="Y290" s="22">
        <v>45596</v>
      </c>
      <c r="Z290" s="15">
        <v>1.6773</v>
      </c>
    </row>
    <row r="291" spans="1:26" x14ac:dyDescent="0.25">
      <c r="A291" s="22">
        <v>45625</v>
      </c>
      <c r="B291" s="14">
        <v>15848</v>
      </c>
      <c r="D291" s="22">
        <v>45625</v>
      </c>
      <c r="E291" s="15">
        <v>34.287999999999997</v>
      </c>
      <c r="G291" s="22">
        <v>45625</v>
      </c>
      <c r="H291" s="15">
        <v>1.3394999999999999</v>
      </c>
      <c r="J291" s="22">
        <v>45625</v>
      </c>
      <c r="K291" s="14">
        <v>25346</v>
      </c>
      <c r="M291" s="22">
        <v>45625</v>
      </c>
      <c r="N291" s="15">
        <v>1.0577000000000001</v>
      </c>
      <c r="P291" s="22">
        <v>45625</v>
      </c>
      <c r="Q291" s="15">
        <v>0.88100000000000001</v>
      </c>
      <c r="S291" s="22">
        <v>45625</v>
      </c>
      <c r="T291" s="15">
        <v>1.4006000000000001</v>
      </c>
      <c r="V291" s="22">
        <v>45625</v>
      </c>
      <c r="W291" s="15">
        <v>1.5356000000000001</v>
      </c>
      <c r="Y291" s="22">
        <v>45625</v>
      </c>
      <c r="Z291" s="15">
        <v>1.6901999999999999</v>
      </c>
    </row>
    <row r="292" spans="1:26" x14ac:dyDescent="0.25">
      <c r="A292" s="22">
        <v>45657</v>
      </c>
      <c r="B292" s="14">
        <v>16132</v>
      </c>
      <c r="D292" s="22">
        <v>45657</v>
      </c>
      <c r="E292" s="15">
        <v>34.356000000000002</v>
      </c>
      <c r="G292" s="22">
        <v>45657</v>
      </c>
      <c r="H292" s="15">
        <v>1.367</v>
      </c>
      <c r="J292" s="22">
        <v>45657</v>
      </c>
      <c r="K292" s="14">
        <v>25485</v>
      </c>
      <c r="M292" s="22">
        <v>45657</v>
      </c>
      <c r="N292" s="15">
        <v>1.0348999999999999</v>
      </c>
      <c r="P292" s="22">
        <v>45657</v>
      </c>
      <c r="Q292" s="15">
        <v>0.90780000000000005</v>
      </c>
      <c r="S292" s="22">
        <v>45657</v>
      </c>
      <c r="T292" s="15">
        <v>1.4390000000000001</v>
      </c>
      <c r="V292" s="22">
        <v>45657</v>
      </c>
      <c r="W292" s="15">
        <v>1.6168</v>
      </c>
      <c r="Y292" s="22">
        <v>45657</v>
      </c>
      <c r="Z292" s="15">
        <v>1.788</v>
      </c>
    </row>
    <row r="293" spans="1:26" x14ac:dyDescent="0.25">
      <c r="A293" s="22">
        <v>45688</v>
      </c>
      <c r="B293" s="14">
        <v>16305</v>
      </c>
      <c r="D293" s="22">
        <v>45688</v>
      </c>
      <c r="E293" s="15">
        <v>33.731000000000002</v>
      </c>
      <c r="G293" s="22">
        <v>45688</v>
      </c>
      <c r="H293" s="15">
        <v>1.3568</v>
      </c>
      <c r="J293" s="22">
        <v>45688</v>
      </c>
      <c r="K293" s="14">
        <v>25082</v>
      </c>
      <c r="M293" s="22">
        <v>45688</v>
      </c>
      <c r="N293" s="15">
        <v>1.0362</v>
      </c>
      <c r="P293" s="22">
        <v>45688</v>
      </c>
      <c r="Q293" s="15">
        <v>0.91090000000000004</v>
      </c>
      <c r="S293" s="22">
        <v>45688</v>
      </c>
      <c r="T293" s="15">
        <v>1.4540999999999999</v>
      </c>
      <c r="V293" s="22">
        <v>45688</v>
      </c>
      <c r="W293" s="15">
        <v>1.6081000000000001</v>
      </c>
      <c r="Y293" s="22">
        <v>45688</v>
      </c>
      <c r="Z293" s="15">
        <v>1.7749999999999999</v>
      </c>
    </row>
    <row r="294" spans="1:26" x14ac:dyDescent="0.25">
      <c r="A294" s="22">
        <v>45716</v>
      </c>
      <c r="B294" s="14">
        <v>16596</v>
      </c>
      <c r="D294" s="22">
        <v>45716</v>
      </c>
      <c r="E294" s="15">
        <v>34.262</v>
      </c>
      <c r="G294" s="22">
        <v>45716</v>
      </c>
      <c r="H294" s="15">
        <v>1.3513999999999999</v>
      </c>
      <c r="J294" s="22">
        <v>45716</v>
      </c>
      <c r="K294" s="14">
        <v>25557</v>
      </c>
      <c r="M294" s="22">
        <v>45716</v>
      </c>
      <c r="N294" s="15">
        <v>1.0375000000000001</v>
      </c>
      <c r="P294" s="22">
        <v>45716</v>
      </c>
      <c r="Q294" s="15">
        <v>0.90310000000000001</v>
      </c>
      <c r="S294" s="22">
        <v>45716</v>
      </c>
      <c r="T294" s="15">
        <v>1.4460999999999999</v>
      </c>
      <c r="V294" s="22">
        <v>45716</v>
      </c>
      <c r="W294" s="15">
        <v>1.6107</v>
      </c>
      <c r="Y294" s="22">
        <v>45716</v>
      </c>
      <c r="Z294" s="15">
        <v>1.7863</v>
      </c>
    </row>
    <row r="295" spans="1:26" x14ac:dyDescent="0.25">
      <c r="A295" s="22">
        <v>45747</v>
      </c>
      <c r="B295" s="14">
        <v>16580</v>
      </c>
      <c r="D295" s="22">
        <v>45747</v>
      </c>
      <c r="E295" s="15">
        <v>33.981999999999999</v>
      </c>
      <c r="G295" s="22">
        <v>45747</v>
      </c>
      <c r="H295" s="15">
        <v>1.3439000000000001</v>
      </c>
      <c r="J295" s="22">
        <v>45747</v>
      </c>
      <c r="K295" s="14">
        <v>25565</v>
      </c>
      <c r="M295" s="22">
        <v>45747</v>
      </c>
      <c r="N295" s="15">
        <v>1.0811999999999999</v>
      </c>
      <c r="P295" s="22">
        <v>45747</v>
      </c>
      <c r="Q295" s="15">
        <v>0.88439999999999996</v>
      </c>
      <c r="S295" s="22">
        <v>45747</v>
      </c>
      <c r="T295" s="15">
        <v>1.4376</v>
      </c>
      <c r="V295" s="22">
        <v>45747</v>
      </c>
      <c r="W295" s="15">
        <v>1.6023000000000001</v>
      </c>
      <c r="Y295" s="22">
        <v>45747</v>
      </c>
      <c r="Z295" s="15">
        <v>1.7636000000000001</v>
      </c>
    </row>
    <row r="296" spans="1:26" x14ac:dyDescent="0.25">
      <c r="A296" s="22">
        <v>45777</v>
      </c>
      <c r="B296" s="14">
        <v>16603</v>
      </c>
      <c r="D296" s="22">
        <v>45777</v>
      </c>
      <c r="E296" s="15">
        <v>33.368000000000002</v>
      </c>
      <c r="G296" s="22">
        <v>45777</v>
      </c>
      <c r="H296" s="15">
        <v>1.3056000000000001</v>
      </c>
      <c r="J296" s="22">
        <v>45777</v>
      </c>
      <c r="K296" s="14">
        <v>25970</v>
      </c>
      <c r="M296" s="22">
        <v>45777</v>
      </c>
      <c r="N296" s="15">
        <v>1.1355999999999999</v>
      </c>
      <c r="P296" s="22">
        <v>45777</v>
      </c>
      <c r="Q296" s="15">
        <v>0.82230000000000003</v>
      </c>
      <c r="S296" s="22">
        <v>45777</v>
      </c>
      <c r="T296" s="15">
        <v>1.381</v>
      </c>
      <c r="V296" s="22">
        <v>45777</v>
      </c>
      <c r="W296" s="15">
        <v>1.5637000000000001</v>
      </c>
      <c r="Y296" s="22">
        <v>45777</v>
      </c>
      <c r="Z296" s="15">
        <v>1.6859999999999999</v>
      </c>
    </row>
    <row r="297" spans="1:26" x14ac:dyDescent="0.25">
      <c r="A297" s="22">
        <v>45807</v>
      </c>
      <c r="B297" s="14">
        <v>16327</v>
      </c>
      <c r="D297" s="22">
        <v>45807</v>
      </c>
      <c r="E297" s="15">
        <v>32.868000000000002</v>
      </c>
      <c r="G297" s="22">
        <v>45807</v>
      </c>
      <c r="H297" s="15">
        <v>1.2909999999999999</v>
      </c>
      <c r="J297" s="22">
        <v>45807</v>
      </c>
      <c r="K297" s="14">
        <v>26022</v>
      </c>
      <c r="M297" s="22">
        <v>45807</v>
      </c>
      <c r="N297" s="15">
        <v>1.1347</v>
      </c>
      <c r="P297" s="22">
        <v>45807</v>
      </c>
      <c r="Q297" s="15">
        <v>0.82240000000000002</v>
      </c>
      <c r="S297" s="22">
        <v>45807</v>
      </c>
      <c r="T297" s="15">
        <v>1.3738999999999999</v>
      </c>
      <c r="V297" s="22">
        <v>45807</v>
      </c>
      <c r="W297" s="15">
        <v>1.5548999999999999</v>
      </c>
      <c r="Y297" s="22">
        <v>45807</v>
      </c>
      <c r="Z297" s="15">
        <v>1.677</v>
      </c>
    </row>
    <row r="298" spans="1:26" x14ac:dyDescent="0.25">
      <c r="A298" s="22">
        <v>45838</v>
      </c>
      <c r="B298" s="14">
        <v>16238</v>
      </c>
      <c r="D298" s="22">
        <v>45838</v>
      </c>
      <c r="E298" s="15">
        <v>32.485999999999997</v>
      </c>
      <c r="G298" s="22">
        <v>45838</v>
      </c>
      <c r="H298" s="15">
        <v>1.2724</v>
      </c>
      <c r="J298" s="22">
        <v>45838</v>
      </c>
      <c r="K298" s="14">
        <v>26116</v>
      </c>
      <c r="M298" s="22">
        <v>45838</v>
      </c>
      <c r="N298" s="15">
        <v>1.1762999999999999</v>
      </c>
      <c r="P298" s="22">
        <v>45838</v>
      </c>
      <c r="Q298" s="15">
        <v>0.79420000000000002</v>
      </c>
      <c r="S298" s="22">
        <v>45838</v>
      </c>
      <c r="T298" s="15">
        <v>1.3627</v>
      </c>
      <c r="V298" s="22">
        <v>45838</v>
      </c>
      <c r="W298" s="15">
        <v>1.5215000000000001</v>
      </c>
      <c r="Y298" s="22">
        <v>45838</v>
      </c>
      <c r="Z298" s="15">
        <v>1.6419999999999999</v>
      </c>
    </row>
    <row r="299" spans="1:26" x14ac:dyDescent="0.25">
      <c r="A299" s="22">
        <v>45869</v>
      </c>
      <c r="B299" s="14">
        <v>16456</v>
      </c>
      <c r="D299" s="22">
        <v>45869</v>
      </c>
      <c r="E299" s="15">
        <v>32.762999999999998</v>
      </c>
      <c r="G299" s="22">
        <v>45869</v>
      </c>
      <c r="H299" s="15">
        <v>1.2982</v>
      </c>
      <c r="J299" s="22">
        <v>45869</v>
      </c>
      <c r="K299" s="14">
        <v>26200</v>
      </c>
      <c r="M299" s="22">
        <v>45869</v>
      </c>
      <c r="N299" s="15">
        <v>1.1423000000000001</v>
      </c>
      <c r="P299" s="22">
        <v>45869</v>
      </c>
      <c r="Q299" s="15">
        <v>0.81240000000000001</v>
      </c>
      <c r="S299" s="22">
        <v>45869</v>
      </c>
      <c r="T299" s="15">
        <v>1.3848</v>
      </c>
      <c r="V299" s="22">
        <v>45869</v>
      </c>
      <c r="W299" s="15">
        <v>1.5547</v>
      </c>
      <c r="Y299" s="22">
        <v>45869</v>
      </c>
      <c r="Z299" s="15">
        <v>1.6960999999999999</v>
      </c>
    </row>
    <row r="300" spans="1:26" x14ac:dyDescent="0.25">
      <c r="A300" s="22">
        <v>45898</v>
      </c>
      <c r="B300" s="14">
        <v>16500</v>
      </c>
      <c r="D300" s="22">
        <v>45898</v>
      </c>
      <c r="E300" s="15">
        <v>32.335000000000001</v>
      </c>
      <c r="G300" s="22">
        <v>45898</v>
      </c>
      <c r="H300" s="15">
        <v>1.284</v>
      </c>
      <c r="J300" s="22">
        <v>45898</v>
      </c>
      <c r="K300" s="14">
        <v>26345</v>
      </c>
      <c r="M300" s="22">
        <v>45898</v>
      </c>
      <c r="N300" s="15">
        <v>1.1686000000000001</v>
      </c>
      <c r="P300" s="22">
        <v>45898</v>
      </c>
      <c r="Q300" s="15">
        <v>0.80049999999999999</v>
      </c>
      <c r="S300" s="22">
        <v>45898</v>
      </c>
      <c r="T300" s="15">
        <v>1.3741000000000001</v>
      </c>
      <c r="V300" s="22">
        <v>45898</v>
      </c>
      <c r="W300" s="15">
        <v>1.5290999999999999</v>
      </c>
      <c r="Y300" s="22">
        <v>45898</v>
      </c>
      <c r="Z300" s="15">
        <v>1.6969000000000001</v>
      </c>
    </row>
    <row r="301" spans="1:26" x14ac:dyDescent="0.25">
      <c r="A301" s="22">
        <v>45930</v>
      </c>
      <c r="B301" s="14">
        <v>16665</v>
      </c>
      <c r="D301" s="22">
        <v>45930</v>
      </c>
      <c r="E301" s="15">
        <v>32.447000000000003</v>
      </c>
      <c r="G301" s="22">
        <v>45930</v>
      </c>
      <c r="H301" s="15">
        <v>1.2894000000000001</v>
      </c>
      <c r="J301" s="22">
        <v>45930</v>
      </c>
      <c r="K301" s="14">
        <v>26425</v>
      </c>
      <c r="M301" s="22">
        <v>45930</v>
      </c>
      <c r="N301" s="15">
        <v>1.1757</v>
      </c>
      <c r="P301" s="22">
        <v>45930</v>
      </c>
      <c r="Q301" s="15">
        <v>0.79469999999999996</v>
      </c>
      <c r="S301" s="22">
        <v>45930</v>
      </c>
      <c r="T301" s="15">
        <v>1.3922000000000001</v>
      </c>
      <c r="V301" s="22">
        <v>45930</v>
      </c>
      <c r="W301" s="15">
        <v>1.5106999999999999</v>
      </c>
      <c r="Y301" s="22">
        <v>45930</v>
      </c>
      <c r="Z301" s="15">
        <v>1.7238</v>
      </c>
    </row>
    <row r="302" spans="1:26" x14ac:dyDescent="0.25">
      <c r="A302" s="22">
        <v>45961</v>
      </c>
      <c r="B302" s="14">
        <v>16631</v>
      </c>
      <c r="D302" s="22">
        <v>45961</v>
      </c>
      <c r="E302" s="15">
        <v>32.33</v>
      </c>
      <c r="G302" s="22">
        <v>45961</v>
      </c>
      <c r="H302" s="15">
        <v>1.3009999999999999</v>
      </c>
      <c r="J302" s="22">
        <v>45961</v>
      </c>
      <c r="K302" s="14">
        <v>26314</v>
      </c>
      <c r="M302" s="22">
        <v>45961</v>
      </c>
      <c r="N302" s="15">
        <v>1.1536999999999999</v>
      </c>
      <c r="P302" s="22">
        <v>45961</v>
      </c>
      <c r="Q302" s="15">
        <v>0.80459999999999998</v>
      </c>
      <c r="S302" s="22">
        <v>45961</v>
      </c>
      <c r="T302" s="15">
        <v>1.401</v>
      </c>
      <c r="V302" s="22">
        <v>45961</v>
      </c>
      <c r="W302" s="15">
        <v>1.5279</v>
      </c>
      <c r="Y302" s="22">
        <v>45961</v>
      </c>
      <c r="Z302" s="15">
        <v>1.7470000000000001</v>
      </c>
    </row>
    <row r="303" spans="1:26" x14ac:dyDescent="0.25">
      <c r="A303" s="22">
        <v>45989</v>
      </c>
      <c r="B303" s="14">
        <v>16675</v>
      </c>
      <c r="D303" s="22">
        <v>45989</v>
      </c>
      <c r="E303" s="15">
        <v>32.11</v>
      </c>
      <c r="G303" s="22">
        <v>45989</v>
      </c>
      <c r="H303" s="15">
        <v>1.2967</v>
      </c>
      <c r="J303" s="22">
        <v>45989</v>
      </c>
      <c r="K303" s="14">
        <v>26365</v>
      </c>
      <c r="M303" s="22">
        <v>45989</v>
      </c>
      <c r="N303" s="15">
        <v>1.1597999999999999</v>
      </c>
      <c r="P303" s="22">
        <v>45989</v>
      </c>
      <c r="Q303" s="15">
        <v>0.80400000000000005</v>
      </c>
      <c r="S303" s="22">
        <v>45989</v>
      </c>
      <c r="T303" s="15">
        <v>1.3976999999999999</v>
      </c>
      <c r="V303" s="22">
        <v>45989</v>
      </c>
      <c r="W303" s="15">
        <v>1.5266</v>
      </c>
      <c r="Y303" s="22">
        <v>45989</v>
      </c>
      <c r="Z303" s="15">
        <v>1.7436</v>
      </c>
    </row>
    <row r="304" spans="1:26" x14ac:dyDescent="0.25">
      <c r="A304" s="22">
        <v>46022</v>
      </c>
      <c r="B304" s="14">
        <v>16680</v>
      </c>
      <c r="D304" s="22">
        <v>46022</v>
      </c>
      <c r="E304" s="15">
        <v>31.495999999999999</v>
      </c>
      <c r="G304" s="22">
        <v>46022</v>
      </c>
      <c r="H304" s="15">
        <v>1.2865</v>
      </c>
      <c r="J304" s="22">
        <v>46022</v>
      </c>
      <c r="K304" s="14">
        <v>26293</v>
      </c>
      <c r="M304" s="22">
        <v>46022</v>
      </c>
      <c r="N304" s="15">
        <v>1.1736</v>
      </c>
      <c r="P304" s="22">
        <v>46022</v>
      </c>
      <c r="Q304" s="15">
        <v>0.79339999999999999</v>
      </c>
      <c r="S304" s="22">
        <v>46022</v>
      </c>
      <c r="T304" s="15">
        <v>1.3721000000000001</v>
      </c>
      <c r="V304" s="22">
        <v>46022</v>
      </c>
      <c r="W304" s="15">
        <v>1.4987999999999999</v>
      </c>
      <c r="Y304" s="22">
        <v>46022</v>
      </c>
      <c r="Z304" s="15">
        <v>1.7377</v>
      </c>
    </row>
    <row r="305" spans="1:26" x14ac:dyDescent="0.25">
      <c r="A305" s="22">
        <v>46052</v>
      </c>
      <c r="B305" s="14">
        <v>16786</v>
      </c>
      <c r="D305" s="22">
        <v>46052</v>
      </c>
      <c r="E305" s="15">
        <v>31.574000000000002</v>
      </c>
      <c r="G305" s="22">
        <v>46052</v>
      </c>
      <c r="H305" s="15">
        <v>1.2703</v>
      </c>
      <c r="J305" s="22">
        <v>46052</v>
      </c>
      <c r="K305" s="14">
        <v>25949</v>
      </c>
      <c r="M305" s="22">
        <v>46052</v>
      </c>
      <c r="N305" s="15">
        <v>1.1851</v>
      </c>
      <c r="P305" s="22">
        <v>46052</v>
      </c>
      <c r="Q305" s="15">
        <v>0.77300000000000002</v>
      </c>
      <c r="S305" s="22">
        <v>46052</v>
      </c>
      <c r="T305" s="15">
        <v>1.3613</v>
      </c>
      <c r="V305" s="22">
        <v>46052</v>
      </c>
      <c r="W305" s="15">
        <v>1.4360999999999999</v>
      </c>
      <c r="Y305" s="22">
        <v>46052</v>
      </c>
      <c r="Z305" s="15">
        <v>1.6607000000000001</v>
      </c>
    </row>
    <row r="306" spans="1:26" x14ac:dyDescent="0.25">
      <c r="A306" s="22">
        <v>46080</v>
      </c>
      <c r="B306" s="14">
        <v>16787</v>
      </c>
      <c r="D306" s="22">
        <v>46080</v>
      </c>
      <c r="E306" s="15">
        <v>31.045000000000002</v>
      </c>
      <c r="G306" s="22">
        <v>46080</v>
      </c>
      <c r="H306" s="15">
        <v>1.2650999999999999</v>
      </c>
      <c r="J306" s="22">
        <v>46080</v>
      </c>
      <c r="K306" s="14">
        <v>26058</v>
      </c>
      <c r="M306" s="22">
        <v>46080</v>
      </c>
      <c r="N306" s="15">
        <v>1.1812</v>
      </c>
      <c r="P306" s="22">
        <v>46080</v>
      </c>
      <c r="Q306" s="15">
        <v>0.76929999999999998</v>
      </c>
      <c r="S306" s="22">
        <v>46080</v>
      </c>
      <c r="T306" s="15">
        <v>1.3640000000000001</v>
      </c>
      <c r="V306" s="22">
        <v>46080</v>
      </c>
      <c r="W306" s="15">
        <v>1.405</v>
      </c>
      <c r="Y306" s="22">
        <v>46080</v>
      </c>
      <c r="Z306" s="15">
        <v>1.6673</v>
      </c>
    </row>
    <row r="307" spans="1:26" x14ac:dyDescent="0.25">
      <c r="A307" s="22">
        <v>46112</v>
      </c>
      <c r="B307" s="14">
        <v>17041</v>
      </c>
      <c r="D307" s="22">
        <v>46112</v>
      </c>
      <c r="E307" s="15">
        <v>32.631</v>
      </c>
      <c r="G307" s="22">
        <v>46112</v>
      </c>
      <c r="H307" s="15">
        <v>1.2875000000000001</v>
      </c>
      <c r="J307" s="22">
        <v>46112</v>
      </c>
      <c r="K307" s="14">
        <v>26341</v>
      </c>
      <c r="M307" s="22">
        <v>46112</v>
      </c>
      <c r="N307" s="15">
        <v>1.1540999999999999</v>
      </c>
      <c r="P307" s="22">
        <v>46112</v>
      </c>
      <c r="Q307" s="15">
        <v>0.80110000000000003</v>
      </c>
      <c r="S307" s="22">
        <v>46112</v>
      </c>
      <c r="T307" s="15">
        <v>1.3935</v>
      </c>
      <c r="V307" s="22">
        <v>46112</v>
      </c>
      <c r="W307" s="15">
        <v>1.4523999999999999</v>
      </c>
      <c r="Y307" s="22">
        <v>46112</v>
      </c>
      <c r="Z307" s="15">
        <v>1.7454000000000001</v>
      </c>
    </row>
    <row r="308" spans="1:26" x14ac:dyDescent="0.25">
      <c r="A308" s="22">
        <v>46142</v>
      </c>
      <c r="B308" s="14">
        <v>17346</v>
      </c>
      <c r="D308" s="22">
        <v>46142</v>
      </c>
      <c r="E308" s="15">
        <v>32.543999999999997</v>
      </c>
      <c r="G308" s="22">
        <v>46142</v>
      </c>
      <c r="H308" s="15">
        <v>1.2739</v>
      </c>
      <c r="J308" s="22">
        <v>46142</v>
      </c>
      <c r="K308" s="14">
        <v>26349</v>
      </c>
      <c r="M308" s="22">
        <v>46142</v>
      </c>
      <c r="N308" s="15">
        <v>1.1726000000000001</v>
      </c>
      <c r="P308" s="22">
        <v>46142</v>
      </c>
      <c r="Q308" s="15">
        <v>0.78249999999999997</v>
      </c>
      <c r="S308" s="22">
        <v>46142</v>
      </c>
      <c r="T308" s="15">
        <v>1.3612</v>
      </c>
      <c r="V308" s="22">
        <v>46142</v>
      </c>
      <c r="W308" s="15">
        <v>1.3923000000000001</v>
      </c>
      <c r="Y308" s="22">
        <v>46142</v>
      </c>
      <c r="Z308" s="15">
        <v>1.6975</v>
      </c>
    </row>
    <row r="309" spans="1:26" x14ac:dyDescent="0.25">
      <c r="A309" s="22">
        <v>46171</v>
      </c>
      <c r="B309" s="14">
        <v>17881</v>
      </c>
      <c r="D309" s="22">
        <v>46171</v>
      </c>
      <c r="E309" s="15">
        <v>32.503999999999998</v>
      </c>
      <c r="G309" s="22">
        <v>46171</v>
      </c>
      <c r="H309" s="15">
        <v>1.2766</v>
      </c>
      <c r="J309" s="22">
        <v>46171</v>
      </c>
      <c r="K309" s="14">
        <v>26313</v>
      </c>
      <c r="M309" s="22">
        <v>46171</v>
      </c>
      <c r="N309" s="15">
        <v>1.1658999999999999</v>
      </c>
      <c r="P309" s="22">
        <v>46171</v>
      </c>
      <c r="Q309" s="15">
        <v>0.78100000000000003</v>
      </c>
      <c r="S309" s="22">
        <v>46171</v>
      </c>
      <c r="T309" s="15">
        <v>1.3793</v>
      </c>
      <c r="V309" s="22">
        <v>46171</v>
      </c>
      <c r="W309" s="15">
        <v>1.3918999999999999</v>
      </c>
      <c r="Y309" s="22">
        <v>46171</v>
      </c>
      <c r="Z309" s="15">
        <v>1.6698999999999999</v>
      </c>
    </row>
    <row r="310" spans="1:26" x14ac:dyDescent="0.25">
      <c r="A310" s="22">
        <v>46203</v>
      </c>
      <c r="B310" s="14">
        <v>17907</v>
      </c>
      <c r="D310" s="22">
        <v>46203</v>
      </c>
      <c r="E310" s="15">
        <v>33.246000000000002</v>
      </c>
      <c r="G310" s="22">
        <v>46203</v>
      </c>
      <c r="H310" s="15">
        <v>1.2945</v>
      </c>
      <c r="J310" s="22">
        <v>46203</v>
      </c>
      <c r="K310" s="14">
        <v>26310</v>
      </c>
      <c r="M310" s="22">
        <v>46203</v>
      </c>
      <c r="N310" s="15">
        <v>1.1414</v>
      </c>
      <c r="P310" s="22">
        <v>46203</v>
      </c>
      <c r="Q310" s="15">
        <v>0.80869999999999997</v>
      </c>
      <c r="S310" s="22">
        <v>46203</v>
      </c>
      <c r="T310" s="15">
        <v>1.4208000000000001</v>
      </c>
      <c r="V310" s="22">
        <v>46203</v>
      </c>
      <c r="W310" s="15">
        <v>1.4468000000000001</v>
      </c>
      <c r="Y310" s="22">
        <v>46203</v>
      </c>
      <c r="Z310" s="15">
        <v>1.7626999999999999</v>
      </c>
    </row>
    <row r="311" spans="1:26" x14ac:dyDescent="0.25">
      <c r="A311" s="22">
        <v>46234</v>
      </c>
      <c r="B311" s="14">
        <v>18022</v>
      </c>
      <c r="D311" s="22">
        <v>46234</v>
      </c>
      <c r="E311" s="15">
        <v>33.436</v>
      </c>
      <c r="G311" s="22">
        <v>46234</v>
      </c>
      <c r="H311" s="15">
        <v>1.2827999999999999</v>
      </c>
      <c r="J311" s="22">
        <v>46234</v>
      </c>
      <c r="K311" s="14">
        <v>26296</v>
      </c>
      <c r="M311" s="22">
        <v>46234</v>
      </c>
      <c r="N311" s="15">
        <v>1.1527000000000001</v>
      </c>
      <c r="P311" s="22">
        <v>46234</v>
      </c>
      <c r="Q311" s="15">
        <v>0.8075</v>
      </c>
      <c r="S311" s="22">
        <v>46234</v>
      </c>
      <c r="T311" s="15">
        <v>1.4020999999999999</v>
      </c>
      <c r="V311" s="22">
        <v>46234</v>
      </c>
      <c r="W311" s="15">
        <v>1.4246000000000001</v>
      </c>
      <c r="Y311" s="22">
        <v>46234</v>
      </c>
      <c r="Z311" s="15">
        <v>1.7009000000000001</v>
      </c>
    </row>
    <row r="312" spans="1:26" x14ac:dyDescent="0.25">
      <c r="A312" s="22">
        <v>46265</v>
      </c>
      <c r="B312" s="14">
        <v>17748</v>
      </c>
      <c r="D312" s="22">
        <v>46265</v>
      </c>
      <c r="E312" s="15">
        <v>32.853999999999999</v>
      </c>
      <c r="G312" s="22">
        <v>46265</v>
      </c>
      <c r="H312" s="15">
        <v>1.2706</v>
      </c>
      <c r="J312" s="22">
        <v>46265</v>
      </c>
      <c r="K312" s="14">
        <v>26119</v>
      </c>
      <c r="M312" s="22">
        <v>46265</v>
      </c>
      <c r="N312" s="15">
        <v>1.1704000000000001</v>
      </c>
      <c r="P312" s="22">
        <v>46265</v>
      </c>
      <c r="Q312" s="15">
        <v>0.79610000000000003</v>
      </c>
      <c r="S312" s="22">
        <v>46265</v>
      </c>
      <c r="T312" s="15">
        <v>1.3773</v>
      </c>
      <c r="V312" s="22">
        <v>46265</v>
      </c>
      <c r="W312" s="15">
        <v>1.4032</v>
      </c>
      <c r="Y312" s="22">
        <v>46265</v>
      </c>
      <c r="Z312" s="15">
        <v>1.6787000000000001</v>
      </c>
    </row>
    <row r="313" spans="1:26" x14ac:dyDescent="0.25">
      <c r="A313" s="22">
        <v>46295</v>
      </c>
      <c r="B313" s="14">
        <v>17748</v>
      </c>
      <c r="D313" s="22">
        <v>46295</v>
      </c>
      <c r="E313" s="15">
        <v>32.853999999999999</v>
      </c>
      <c r="G313" s="22">
        <v>46295</v>
      </c>
      <c r="H313" s="15">
        <v>1.2706</v>
      </c>
      <c r="J313" s="22">
        <v>46295</v>
      </c>
      <c r="K313" s="14">
        <v>26119</v>
      </c>
      <c r="M313" s="22">
        <v>46295</v>
      </c>
      <c r="N313" s="15">
        <v>1.1704000000000001</v>
      </c>
      <c r="P313" s="22">
        <v>46295</v>
      </c>
      <c r="Q313" s="15">
        <v>0.79610000000000003</v>
      </c>
      <c r="S313" s="22">
        <v>46295</v>
      </c>
      <c r="T313" s="15">
        <v>1.3773</v>
      </c>
      <c r="V313" s="22">
        <v>46295</v>
      </c>
      <c r="W313" s="15">
        <v>1.4032</v>
      </c>
      <c r="Y313" s="22">
        <v>46295</v>
      </c>
      <c r="Z313" s="15">
        <v>1.6787000000000001</v>
      </c>
    </row>
    <row r="314" spans="1:26" x14ac:dyDescent="0.25">
      <c r="A314" s="22">
        <v>46325</v>
      </c>
      <c r="B314" s="14">
        <v>17748</v>
      </c>
      <c r="D314" s="22">
        <v>46325</v>
      </c>
      <c r="E314" s="15">
        <v>32.853999999999999</v>
      </c>
      <c r="G314" s="22">
        <v>46325</v>
      </c>
      <c r="H314" s="15">
        <v>1.2706</v>
      </c>
      <c r="J314" s="22">
        <v>46325</v>
      </c>
      <c r="K314" s="14">
        <v>26119</v>
      </c>
      <c r="M314" s="22">
        <v>46325</v>
      </c>
      <c r="N314" s="15">
        <v>1.1704000000000001</v>
      </c>
      <c r="P314" s="22">
        <v>46325</v>
      </c>
      <c r="Q314" s="15">
        <v>0.79610000000000003</v>
      </c>
      <c r="S314" s="22">
        <v>46325</v>
      </c>
      <c r="T314" s="15">
        <v>1.3773</v>
      </c>
      <c r="V314" s="22">
        <v>46325</v>
      </c>
      <c r="W314" s="15">
        <v>1.4032</v>
      </c>
      <c r="Y314" s="22">
        <v>46325</v>
      </c>
      <c r="Z314" s="15">
        <v>1.6787000000000001</v>
      </c>
    </row>
    <row r="315" spans="1:26" x14ac:dyDescent="0.25">
      <c r="A315" s="22">
        <v>46356</v>
      </c>
      <c r="B315" s="14">
        <v>17748</v>
      </c>
      <c r="D315" s="22">
        <v>46356</v>
      </c>
      <c r="E315" s="15">
        <v>32.853999999999999</v>
      </c>
      <c r="G315" s="22">
        <v>46356</v>
      </c>
      <c r="H315" s="15">
        <v>1.2706</v>
      </c>
      <c r="J315" s="22">
        <v>46356</v>
      </c>
      <c r="K315" s="14">
        <v>26119</v>
      </c>
      <c r="M315" s="22">
        <v>46356</v>
      </c>
      <c r="N315" s="15">
        <v>1.1704000000000001</v>
      </c>
      <c r="P315" s="22">
        <v>46356</v>
      </c>
      <c r="Q315" s="15">
        <v>0.79610000000000003</v>
      </c>
      <c r="S315" s="22">
        <v>46356</v>
      </c>
      <c r="T315" s="15">
        <v>1.3773</v>
      </c>
      <c r="V315" s="22">
        <v>46356</v>
      </c>
      <c r="W315" s="15">
        <v>1.4032</v>
      </c>
      <c r="Y315" s="22">
        <v>46356</v>
      </c>
      <c r="Z315" s="15">
        <v>1.6787000000000001</v>
      </c>
    </row>
    <row r="316" spans="1:26" x14ac:dyDescent="0.25">
      <c r="A316" s="22">
        <v>46387</v>
      </c>
      <c r="B316" s="14">
        <v>17748</v>
      </c>
      <c r="D316" s="22">
        <v>46387</v>
      </c>
      <c r="E316" s="15">
        <v>32.853999999999999</v>
      </c>
      <c r="G316" s="22">
        <v>46387</v>
      </c>
      <c r="H316" s="15">
        <v>1.2706</v>
      </c>
      <c r="J316" s="22">
        <v>46387</v>
      </c>
      <c r="K316" s="14">
        <v>26119</v>
      </c>
      <c r="M316" s="22">
        <v>46387</v>
      </c>
      <c r="N316" s="15">
        <v>1.1704000000000001</v>
      </c>
      <c r="P316" s="22">
        <v>46387</v>
      </c>
      <c r="Q316" s="15">
        <v>0.79610000000000003</v>
      </c>
      <c r="S316" s="22">
        <v>46387</v>
      </c>
      <c r="T316" s="15">
        <v>1.3773</v>
      </c>
      <c r="V316" s="22">
        <v>46387</v>
      </c>
      <c r="W316" s="15">
        <v>1.4032</v>
      </c>
      <c r="Y316" s="22">
        <v>46387</v>
      </c>
      <c r="Z316" s="15">
        <v>1.6787000000000001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9"/>
  <sheetViews>
    <sheetView showGridLines="0" workbookViewId="0"/>
  </sheetViews>
  <sheetFormatPr defaultRowHeight="15" x14ac:dyDescent="0.25"/>
  <cols>
    <col min="1" max="1" width="3" customWidth="1"/>
    <col min="2" max="2" width="110" customWidth="1"/>
  </cols>
  <sheetData>
    <row r="2" spans="2:2" ht="18.75" x14ac:dyDescent="0.3">
      <c r="B2" s="1" t="s">
        <v>53</v>
      </c>
    </row>
    <row r="4" spans="2:2" x14ac:dyDescent="0.25">
      <c r="B4" s="20" t="s">
        <v>54</v>
      </c>
    </row>
    <row r="5" spans="2:2" ht="30" customHeight="1" x14ac:dyDescent="0.25">
      <c r="B5" s="21" t="s">
        <v>55</v>
      </c>
    </row>
    <row r="6" spans="2:2" ht="30" customHeight="1" x14ac:dyDescent="0.25">
      <c r="B6" s="21" t="s">
        <v>56</v>
      </c>
    </row>
    <row r="7" spans="2:2" x14ac:dyDescent="0.25">
      <c r="B7" s="20" t="s">
        <v>57</v>
      </c>
    </row>
    <row r="8" spans="2:2" ht="30" customHeight="1" x14ac:dyDescent="0.25">
      <c r="B8" s="21" t="s">
        <v>58</v>
      </c>
    </row>
    <row r="9" spans="2:2" ht="30" customHeight="1" x14ac:dyDescent="0.25">
      <c r="B9" s="21" t="s">
        <v>59</v>
      </c>
    </row>
    <row r="10" spans="2:2" x14ac:dyDescent="0.25">
      <c r="B10" s="20" t="s">
        <v>60</v>
      </c>
    </row>
    <row r="11" spans="2:2" ht="30" customHeight="1" x14ac:dyDescent="0.25">
      <c r="B11" s="21" t="s">
        <v>61</v>
      </c>
    </row>
    <row r="12" spans="2:2" ht="30" customHeight="1" x14ac:dyDescent="0.25">
      <c r="B12" s="21" t="s">
        <v>62</v>
      </c>
    </row>
    <row r="13" spans="2:2" ht="30" customHeight="1" x14ac:dyDescent="0.25">
      <c r="B13" s="21" t="s">
        <v>63</v>
      </c>
    </row>
    <row r="14" spans="2:2" ht="30" customHeight="1" x14ac:dyDescent="0.25">
      <c r="B14" s="21" t="s">
        <v>64</v>
      </c>
    </row>
    <row r="15" spans="2:2" ht="30" customHeight="1" x14ac:dyDescent="0.25">
      <c r="B15" s="21" t="s">
        <v>65</v>
      </c>
    </row>
    <row r="16" spans="2:2" x14ac:dyDescent="0.25">
      <c r="B16" s="20" t="s">
        <v>66</v>
      </c>
    </row>
    <row r="17" spans="2:2" ht="30" customHeight="1" x14ac:dyDescent="0.25">
      <c r="B17" s="21" t="s">
        <v>67</v>
      </c>
    </row>
    <row r="18" spans="2:2" x14ac:dyDescent="0.25">
      <c r="B18" s="20" t="s">
        <v>68</v>
      </c>
    </row>
    <row r="19" spans="2:2" ht="30" customHeight="1" x14ac:dyDescent="0.25">
      <c r="B19" s="21" t="s">
        <v>69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d7638496-c3f6-46d8-9873-076f95c8121f}" enabled="1" method="Privileged" siteId="{c1f94f0d-9a3d-4854-9288-bb90dcf2a90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Control</vt:lpstr>
      <vt:lpstr>Data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Aaten, Thijs</cp:lastModifiedBy>
  <dcterms:created xsi:type="dcterms:W3CDTF">2026-08-20T07:15:47Z</dcterms:created>
  <dcterms:modified xsi:type="dcterms:W3CDTF">2026-08-20T09:43:12Z</dcterms:modified>
</cp:coreProperties>
</file>