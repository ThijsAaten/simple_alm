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loudapg-my.sharepoint.com/personal/thijs_aaten_apg-am_hk/Documents/Documents/Asia underweight paper/"/>
    </mc:Choice>
  </mc:AlternateContent>
  <xr:revisionPtr revIDLastSave="0" documentId="8_{124F0CF5-D1E7-42EB-AB02-8AE85D4CD491}" xr6:coauthVersionLast="47" xr6:coauthVersionMax="47" xr10:uidLastSave="{00000000-0000-0000-0000-000000000000}"/>
  <bookViews>
    <workbookView xWindow="1860" yWindow="1860" windowWidth="43200" windowHeight="17145" tabRatio="500" activeTab="2" xr2:uid="{00000000-000D-0000-FFFF-FFFF00000000}"/>
  </bookViews>
  <sheets>
    <sheet name="README" sheetId="1" r:id="rId1"/>
    <sheet name="Bund_yields" sheetId="2" r:id="rId2"/>
    <sheet name="FX_round2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311" i="3" l="1"/>
  <c r="R311" i="3"/>
  <c r="Q311" i="3"/>
  <c r="P311" i="3"/>
  <c r="P33" i="2"/>
  <c r="O33" i="2"/>
  <c r="S33" i="2" s="1"/>
  <c r="N33" i="2"/>
  <c r="M33" i="2"/>
  <c r="Q33" i="2" s="1"/>
  <c r="U33" i="2" s="1"/>
  <c r="P32" i="2"/>
  <c r="O32" i="2"/>
  <c r="N32" i="2"/>
  <c r="M32" i="2"/>
  <c r="M4" i="3" a="1"/>
  <c r="J4" i="3" a="1"/>
  <c r="G4" i="3" a="1"/>
  <c r="D4" i="3" a="1"/>
  <c r="A4" i="3" a="1"/>
  <c r="J4" i="2" a="1"/>
  <c r="G4" i="2" a="1"/>
  <c r="D4" i="2" a="1"/>
  <c r="A4" i="2" a="1"/>
  <c r="M4" i="3" l="1"/>
  <c r="S307" i="3"/>
  <c r="J4" i="3"/>
  <c r="G4" i="3"/>
  <c r="D4" i="3"/>
  <c r="Q310" i="3"/>
  <c r="Q308" i="3"/>
  <c r="Q306" i="3"/>
  <c r="Q304" i="3"/>
  <c r="Q302" i="3"/>
  <c r="Q300" i="3"/>
  <c r="Q298" i="3"/>
  <c r="Q296" i="3"/>
  <c r="Q294" i="3"/>
  <c r="Q292" i="3"/>
  <c r="Q290" i="3"/>
  <c r="Q288" i="3"/>
  <c r="Q286" i="3"/>
  <c r="Q284" i="3"/>
  <c r="Q282" i="3"/>
  <c r="Q280" i="3"/>
  <c r="Q278" i="3"/>
  <c r="Q276" i="3"/>
  <c r="Q274" i="3"/>
  <c r="Q272" i="3"/>
  <c r="Q270" i="3"/>
  <c r="Q268" i="3"/>
  <c r="Q266" i="3"/>
  <c r="Q264" i="3"/>
  <c r="Q262" i="3"/>
  <c r="Q260" i="3"/>
  <c r="Q258" i="3"/>
  <c r="Q256" i="3"/>
  <c r="Q254" i="3"/>
  <c r="Q252" i="3"/>
  <c r="Q250" i="3"/>
  <c r="Q248" i="3"/>
  <c r="Q246" i="3"/>
  <c r="Q244" i="3"/>
  <c r="Q242" i="3"/>
  <c r="Q240" i="3"/>
  <c r="Q238" i="3"/>
  <c r="Q236" i="3"/>
  <c r="Q234" i="3"/>
  <c r="Q232" i="3"/>
  <c r="Q230" i="3"/>
  <c r="Q228" i="3"/>
  <c r="Q226" i="3"/>
  <c r="Q224" i="3"/>
  <c r="Q222" i="3"/>
  <c r="Q220" i="3"/>
  <c r="Q218" i="3"/>
  <c r="Q216" i="3"/>
  <c r="Q214" i="3"/>
  <c r="Q212" i="3"/>
  <c r="Q210" i="3"/>
  <c r="Q208" i="3"/>
  <c r="Q206" i="3"/>
  <c r="Q204" i="3"/>
  <c r="Q202" i="3"/>
  <c r="Q200" i="3"/>
  <c r="Q198" i="3"/>
  <c r="Q196" i="3"/>
  <c r="Q194" i="3"/>
  <c r="Q192" i="3"/>
  <c r="Q190" i="3"/>
  <c r="Q188" i="3"/>
  <c r="Q186" i="3"/>
  <c r="Q184" i="3"/>
  <c r="Q182" i="3"/>
  <c r="Q180" i="3"/>
  <c r="Q178" i="3"/>
  <c r="Q176" i="3"/>
  <c r="Q174" i="3"/>
  <c r="Q172" i="3"/>
  <c r="Q170" i="3"/>
  <c r="Q168" i="3"/>
  <c r="A4" i="3"/>
  <c r="P310" i="3"/>
  <c r="P308" i="3"/>
  <c r="P306" i="3"/>
  <c r="P304" i="3"/>
  <c r="P302" i="3"/>
  <c r="P300" i="3"/>
  <c r="P298" i="3"/>
  <c r="P296" i="3"/>
  <c r="P294" i="3"/>
  <c r="P292" i="3"/>
  <c r="P290" i="3"/>
  <c r="P288" i="3"/>
  <c r="P286" i="3"/>
  <c r="P284" i="3"/>
  <c r="P282" i="3"/>
  <c r="P280" i="3"/>
  <c r="P278" i="3"/>
  <c r="P276" i="3"/>
  <c r="P274" i="3"/>
  <c r="P272" i="3"/>
  <c r="P270" i="3"/>
  <c r="P268" i="3"/>
  <c r="P266" i="3"/>
  <c r="P264" i="3"/>
  <c r="P262" i="3"/>
  <c r="P260" i="3"/>
  <c r="P258" i="3"/>
  <c r="P256" i="3"/>
  <c r="P254" i="3"/>
  <c r="P252" i="3"/>
  <c r="P250" i="3"/>
  <c r="P248" i="3"/>
  <c r="P246" i="3"/>
  <c r="P244" i="3"/>
  <c r="P242" i="3"/>
  <c r="P240" i="3"/>
  <c r="P238" i="3"/>
  <c r="P236" i="3"/>
  <c r="P234" i="3"/>
  <c r="P232" i="3"/>
  <c r="P230" i="3"/>
  <c r="P228" i="3"/>
  <c r="P226" i="3"/>
  <c r="P224" i="3"/>
  <c r="P222" i="3"/>
  <c r="P220" i="3"/>
  <c r="P218" i="3"/>
  <c r="P216" i="3"/>
  <c r="P214" i="3"/>
  <c r="P212" i="3"/>
  <c r="P210" i="3"/>
  <c r="P208" i="3"/>
  <c r="P206" i="3"/>
  <c r="P204" i="3"/>
  <c r="P202" i="3"/>
  <c r="P200" i="3"/>
  <c r="P198" i="3"/>
  <c r="P196" i="3"/>
  <c r="P194" i="3"/>
  <c r="P192" i="3"/>
  <c r="P190" i="3"/>
  <c r="P188" i="3"/>
  <c r="P186" i="3"/>
  <c r="P184" i="3"/>
  <c r="P182" i="3"/>
  <c r="P180" i="3"/>
  <c r="P178" i="3"/>
  <c r="P176" i="3"/>
  <c r="P174" i="3"/>
  <c r="P172" i="3"/>
  <c r="P170" i="3"/>
  <c r="P168" i="3"/>
  <c r="P166" i="3"/>
  <c r="P164" i="3"/>
  <c r="P162" i="3"/>
  <c r="P160" i="3"/>
  <c r="P158" i="3"/>
  <c r="P156" i="3"/>
  <c r="P154" i="3"/>
  <c r="P152" i="3"/>
  <c r="P150" i="3"/>
  <c r="P148" i="3"/>
  <c r="P146" i="3"/>
  <c r="S309" i="3"/>
  <c r="S305" i="3"/>
  <c r="S303" i="3"/>
  <c r="S301" i="3"/>
  <c r="S299" i="3"/>
  <c r="S297" i="3"/>
  <c r="S295" i="3"/>
  <c r="S293" i="3"/>
  <c r="S291" i="3"/>
  <c r="S289" i="3"/>
  <c r="S287" i="3"/>
  <c r="S285" i="3"/>
  <c r="S283" i="3"/>
  <c r="S281" i="3"/>
  <c r="S279" i="3"/>
  <c r="S277" i="3"/>
  <c r="S275" i="3"/>
  <c r="S273" i="3"/>
  <c r="S271" i="3"/>
  <c r="S269" i="3"/>
  <c r="S267" i="3"/>
  <c r="S265" i="3"/>
  <c r="S263" i="3"/>
  <c r="S261" i="3"/>
  <c r="S259" i="3"/>
  <c r="S257" i="3"/>
  <c r="S255" i="3"/>
  <c r="S253" i="3"/>
  <c r="S251" i="3"/>
  <c r="S249" i="3"/>
  <c r="S247" i="3"/>
  <c r="S245" i="3"/>
  <c r="S243" i="3"/>
  <c r="S241" i="3"/>
  <c r="S239" i="3"/>
  <c r="S237" i="3"/>
  <c r="S235" i="3"/>
  <c r="S233" i="3"/>
  <c r="S231" i="3"/>
  <c r="S229" i="3"/>
  <c r="S227" i="3"/>
  <c r="S225" i="3"/>
  <c r="S223" i="3"/>
  <c r="S221" i="3"/>
  <c r="S219" i="3"/>
  <c r="S217" i="3"/>
  <c r="S215" i="3"/>
  <c r="S213" i="3"/>
  <c r="S211" i="3"/>
  <c r="S209" i="3"/>
  <c r="S207" i="3"/>
  <c r="S205" i="3"/>
  <c r="S203" i="3"/>
  <c r="S201" i="3"/>
  <c r="S199" i="3"/>
  <c r="S197" i="3"/>
  <c r="S195" i="3"/>
  <c r="S193" i="3"/>
  <c r="S191" i="3"/>
  <c r="S189" i="3"/>
  <c r="S187" i="3"/>
  <c r="S185" i="3"/>
  <c r="S183" i="3"/>
  <c r="S181" i="3"/>
  <c r="S179" i="3"/>
  <c r="S177" i="3"/>
  <c r="S175" i="3"/>
  <c r="S173" i="3"/>
  <c r="S171" i="3"/>
  <c r="S169" i="3"/>
  <c r="S167" i="3"/>
  <c r="S165" i="3"/>
  <c r="S163" i="3"/>
  <c r="S161" i="3"/>
  <c r="S159" i="3"/>
  <c r="S157" i="3"/>
  <c r="S155" i="3"/>
  <c r="S153" i="3"/>
  <c r="S151" i="3"/>
  <c r="S149" i="3"/>
  <c r="S147" i="3"/>
  <c r="S145" i="3"/>
  <c r="S143" i="3"/>
  <c r="S141" i="3"/>
  <c r="R309" i="3"/>
  <c r="R307" i="3"/>
  <c r="R305" i="3"/>
  <c r="R303" i="3"/>
  <c r="R301" i="3"/>
  <c r="R299" i="3"/>
  <c r="R297" i="3"/>
  <c r="R295" i="3"/>
  <c r="R293" i="3"/>
  <c r="R291" i="3"/>
  <c r="R289" i="3"/>
  <c r="R287" i="3"/>
  <c r="R285" i="3"/>
  <c r="R283" i="3"/>
  <c r="R281" i="3"/>
  <c r="R279" i="3"/>
  <c r="R277" i="3"/>
  <c r="R275" i="3"/>
  <c r="R273" i="3"/>
  <c r="R271" i="3"/>
  <c r="R269" i="3"/>
  <c r="R267" i="3"/>
  <c r="R265" i="3"/>
  <c r="R263" i="3"/>
  <c r="R261" i="3"/>
  <c r="R259" i="3"/>
  <c r="R257" i="3"/>
  <c r="R255" i="3"/>
  <c r="R253" i="3"/>
  <c r="R251" i="3"/>
  <c r="R249" i="3"/>
  <c r="R247" i="3"/>
  <c r="R245" i="3"/>
  <c r="R243" i="3"/>
  <c r="R241" i="3"/>
  <c r="R239" i="3"/>
  <c r="R237" i="3"/>
  <c r="R235" i="3"/>
  <c r="R233" i="3"/>
  <c r="R231" i="3"/>
  <c r="R229" i="3"/>
  <c r="R227" i="3"/>
  <c r="R225" i="3"/>
  <c r="R223" i="3"/>
  <c r="R221" i="3"/>
  <c r="R219" i="3"/>
  <c r="R217" i="3"/>
  <c r="R215" i="3"/>
  <c r="R213" i="3"/>
  <c r="R211" i="3"/>
  <c r="R209" i="3"/>
  <c r="R207" i="3"/>
  <c r="R205" i="3"/>
  <c r="R203" i="3"/>
  <c r="R201" i="3"/>
  <c r="R199" i="3"/>
  <c r="R197" i="3"/>
  <c r="R195" i="3"/>
  <c r="R193" i="3"/>
  <c r="R191" i="3"/>
  <c r="R189" i="3"/>
  <c r="R187" i="3"/>
  <c r="R185" i="3"/>
  <c r="R183" i="3"/>
  <c r="R181" i="3"/>
  <c r="R179" i="3"/>
  <c r="R177" i="3"/>
  <c r="R175" i="3"/>
  <c r="R173" i="3"/>
  <c r="R171" i="3"/>
  <c r="R169" i="3"/>
  <c r="Q309" i="3"/>
  <c r="Q307" i="3"/>
  <c r="Q305" i="3"/>
  <c r="Q303" i="3"/>
  <c r="Q301" i="3"/>
  <c r="Q299" i="3"/>
  <c r="Q297" i="3"/>
  <c r="Q295" i="3"/>
  <c r="Q293" i="3"/>
  <c r="Q291" i="3"/>
  <c r="Q289" i="3"/>
  <c r="Q287" i="3"/>
  <c r="Q285" i="3"/>
  <c r="Q283" i="3"/>
  <c r="Q281" i="3"/>
  <c r="Q279" i="3"/>
  <c r="Q277" i="3"/>
  <c r="Q275" i="3"/>
  <c r="Q273" i="3"/>
  <c r="Q271" i="3"/>
  <c r="Q269" i="3"/>
  <c r="Q267" i="3"/>
  <c r="Q265" i="3"/>
  <c r="Q263" i="3"/>
  <c r="Q261" i="3"/>
  <c r="Q259" i="3"/>
  <c r="Q257" i="3"/>
  <c r="Q255" i="3"/>
  <c r="Q253" i="3"/>
  <c r="Q251" i="3"/>
  <c r="Q249" i="3"/>
  <c r="Q247" i="3"/>
  <c r="Q245" i="3"/>
  <c r="Q243" i="3"/>
  <c r="Q241" i="3"/>
  <c r="Q239" i="3"/>
  <c r="Q237" i="3"/>
  <c r="Q235" i="3"/>
  <c r="Q233" i="3"/>
  <c r="Q231" i="3"/>
  <c r="Q229" i="3"/>
  <c r="Q227" i="3"/>
  <c r="Q225" i="3"/>
  <c r="Q223" i="3"/>
  <c r="Q221" i="3"/>
  <c r="Q219" i="3"/>
  <c r="Q217" i="3"/>
  <c r="Q215" i="3"/>
  <c r="Q213" i="3"/>
  <c r="Q211" i="3"/>
  <c r="Q209" i="3"/>
  <c r="Q207" i="3"/>
  <c r="Q205" i="3"/>
  <c r="Q203" i="3"/>
  <c r="Q201" i="3"/>
  <c r="Q199" i="3"/>
  <c r="Q197" i="3"/>
  <c r="Q195" i="3"/>
  <c r="Q193" i="3"/>
  <c r="Q191" i="3"/>
  <c r="Q189" i="3"/>
  <c r="Q187" i="3"/>
  <c r="Q185" i="3"/>
  <c r="Q183" i="3"/>
  <c r="Q181" i="3"/>
  <c r="Q179" i="3"/>
  <c r="Q177" i="3"/>
  <c r="Q175" i="3"/>
  <c r="Q173" i="3"/>
  <c r="Q171" i="3"/>
  <c r="Q169" i="3"/>
  <c r="Q167" i="3"/>
  <c r="Q165" i="3"/>
  <c r="Q163" i="3"/>
  <c r="Q161" i="3"/>
  <c r="Q159" i="3"/>
  <c r="Q157" i="3"/>
  <c r="Q155" i="3"/>
  <c r="Q153" i="3"/>
  <c r="Q151" i="3"/>
  <c r="Q149" i="3"/>
  <c r="Q147" i="3"/>
  <c r="R308" i="3"/>
  <c r="S302" i="3"/>
  <c r="P297" i="3"/>
  <c r="R292" i="3"/>
  <c r="S286" i="3"/>
  <c r="P281" i="3"/>
  <c r="R276" i="3"/>
  <c r="S270" i="3"/>
  <c r="P265" i="3"/>
  <c r="R260" i="3"/>
  <c r="S254" i="3"/>
  <c r="P249" i="3"/>
  <c r="R244" i="3"/>
  <c r="S238" i="3"/>
  <c r="P233" i="3"/>
  <c r="R228" i="3"/>
  <c r="S222" i="3"/>
  <c r="P217" i="3"/>
  <c r="R212" i="3"/>
  <c r="S206" i="3"/>
  <c r="P201" i="3"/>
  <c r="R196" i="3"/>
  <c r="S190" i="3"/>
  <c r="P185" i="3"/>
  <c r="R180" i="3"/>
  <c r="S174" i="3"/>
  <c r="P169" i="3"/>
  <c r="R165" i="3"/>
  <c r="R162" i="3"/>
  <c r="P159" i="3"/>
  <c r="Q156" i="3"/>
  <c r="S152" i="3"/>
  <c r="R149" i="3"/>
  <c r="R146" i="3"/>
  <c r="P144" i="3"/>
  <c r="R141" i="3"/>
  <c r="R139" i="3"/>
  <c r="R137" i="3"/>
  <c r="R135" i="3"/>
  <c r="R133" i="3"/>
  <c r="R131" i="3"/>
  <c r="R129" i="3"/>
  <c r="R127" i="3"/>
  <c r="R125" i="3"/>
  <c r="R123" i="3"/>
  <c r="R121" i="3"/>
  <c r="R119" i="3"/>
  <c r="R117" i="3"/>
  <c r="R115" i="3"/>
  <c r="R113" i="3"/>
  <c r="R111" i="3"/>
  <c r="R109" i="3"/>
  <c r="R107" i="3"/>
  <c r="R105" i="3"/>
  <c r="R103" i="3"/>
  <c r="R101" i="3"/>
  <c r="R99" i="3"/>
  <c r="R97" i="3"/>
  <c r="R95" i="3"/>
  <c r="P307" i="3"/>
  <c r="R302" i="3"/>
  <c r="S296" i="3"/>
  <c r="P291" i="3"/>
  <c r="R286" i="3"/>
  <c r="S280" i="3"/>
  <c r="P275" i="3"/>
  <c r="R270" i="3"/>
  <c r="S264" i="3"/>
  <c r="P259" i="3"/>
  <c r="R254" i="3"/>
  <c r="S248" i="3"/>
  <c r="P243" i="3"/>
  <c r="R238" i="3"/>
  <c r="S232" i="3"/>
  <c r="P227" i="3"/>
  <c r="R222" i="3"/>
  <c r="S216" i="3"/>
  <c r="P211" i="3"/>
  <c r="R206" i="3"/>
  <c r="S200" i="3"/>
  <c r="P195" i="3"/>
  <c r="R190" i="3"/>
  <c r="S184" i="3"/>
  <c r="P179" i="3"/>
  <c r="R174" i="3"/>
  <c r="S168" i="3"/>
  <c r="P165" i="3"/>
  <c r="Q162" i="3"/>
  <c r="S158" i="3"/>
  <c r="R155" i="3"/>
  <c r="R152" i="3"/>
  <c r="P149" i="3"/>
  <c r="Q146" i="3"/>
  <c r="R143" i="3"/>
  <c r="Q141" i="3"/>
  <c r="Q139" i="3"/>
  <c r="Q137" i="3"/>
  <c r="Q135" i="3"/>
  <c r="Q133" i="3"/>
  <c r="Q131" i="3"/>
  <c r="Q129" i="3"/>
  <c r="Q127" i="3"/>
  <c r="Q125" i="3"/>
  <c r="Q123" i="3"/>
  <c r="Q121" i="3"/>
  <c r="Q119" i="3"/>
  <c r="Q117" i="3"/>
  <c r="Q115" i="3"/>
  <c r="Q113" i="3"/>
  <c r="Q111" i="3"/>
  <c r="Q109" i="3"/>
  <c r="Q107" i="3"/>
  <c r="Q105" i="3"/>
  <c r="Q103" i="3"/>
  <c r="Q101" i="3"/>
  <c r="Q99" i="3"/>
  <c r="Q97" i="3"/>
  <c r="Q95" i="3"/>
  <c r="Q93" i="3"/>
  <c r="S306" i="3"/>
  <c r="P301" i="3"/>
  <c r="R296" i="3"/>
  <c r="S290" i="3"/>
  <c r="P285" i="3"/>
  <c r="R280" i="3"/>
  <c r="S274" i="3"/>
  <c r="P269" i="3"/>
  <c r="R264" i="3"/>
  <c r="S258" i="3"/>
  <c r="P253" i="3"/>
  <c r="R248" i="3"/>
  <c r="S242" i="3"/>
  <c r="P237" i="3"/>
  <c r="R232" i="3"/>
  <c r="S226" i="3"/>
  <c r="P221" i="3"/>
  <c r="R216" i="3"/>
  <c r="S210" i="3"/>
  <c r="P205" i="3"/>
  <c r="R200" i="3"/>
  <c r="S194" i="3"/>
  <c r="P189" i="3"/>
  <c r="R184" i="3"/>
  <c r="S178" i="3"/>
  <c r="P173" i="3"/>
  <c r="R168" i="3"/>
  <c r="S164" i="3"/>
  <c r="R161" i="3"/>
  <c r="R158" i="3"/>
  <c r="P155" i="3"/>
  <c r="Q152" i="3"/>
  <c r="S148" i="3"/>
  <c r="R145" i="3"/>
  <c r="Q143" i="3"/>
  <c r="P141" i="3"/>
  <c r="P139" i="3"/>
  <c r="P137" i="3"/>
  <c r="P135" i="3"/>
  <c r="P133" i="3"/>
  <c r="P131" i="3"/>
  <c r="P129" i="3"/>
  <c r="P127" i="3"/>
  <c r="P125" i="3"/>
  <c r="P123" i="3"/>
  <c r="P121" i="3"/>
  <c r="P119" i="3"/>
  <c r="P117" i="3"/>
  <c r="P115" i="3"/>
  <c r="P113" i="3"/>
  <c r="P111" i="3"/>
  <c r="P109" i="3"/>
  <c r="P107" i="3"/>
  <c r="P105" i="3"/>
  <c r="P103" i="3"/>
  <c r="P101" i="3"/>
  <c r="P99" i="3"/>
  <c r="P97" i="3"/>
  <c r="P95" i="3"/>
  <c r="P93" i="3"/>
  <c r="P91" i="3"/>
  <c r="P89" i="3"/>
  <c r="R306" i="3"/>
  <c r="S300" i="3"/>
  <c r="P295" i="3"/>
  <c r="R290" i="3"/>
  <c r="S284" i="3"/>
  <c r="P279" i="3"/>
  <c r="R274" i="3"/>
  <c r="S268" i="3"/>
  <c r="P263" i="3"/>
  <c r="R258" i="3"/>
  <c r="S252" i="3"/>
  <c r="P247" i="3"/>
  <c r="R242" i="3"/>
  <c r="S236" i="3"/>
  <c r="P231" i="3"/>
  <c r="R226" i="3"/>
  <c r="S220" i="3"/>
  <c r="P215" i="3"/>
  <c r="R210" i="3"/>
  <c r="S204" i="3"/>
  <c r="P199" i="3"/>
  <c r="R194" i="3"/>
  <c r="S188" i="3"/>
  <c r="P183" i="3"/>
  <c r="R178" i="3"/>
  <c r="S172" i="3"/>
  <c r="R167" i="3"/>
  <c r="R164" i="3"/>
  <c r="P161" i="3"/>
  <c r="Q158" i="3"/>
  <c r="S154" i="3"/>
  <c r="R151" i="3"/>
  <c r="R148" i="3"/>
  <c r="Q145" i="3"/>
  <c r="P143" i="3"/>
  <c r="S140" i="3"/>
  <c r="S138" i="3"/>
  <c r="S136" i="3"/>
  <c r="S134" i="3"/>
  <c r="S132" i="3"/>
  <c r="S130" i="3"/>
  <c r="S128" i="3"/>
  <c r="S126" i="3"/>
  <c r="S124" i="3"/>
  <c r="S122" i="3"/>
  <c r="S120" i="3"/>
  <c r="S118" i="3"/>
  <c r="S116" i="3"/>
  <c r="S114" i="3"/>
  <c r="S112" i="3"/>
  <c r="S110" i="3"/>
  <c r="S108" i="3"/>
  <c r="S106" i="3"/>
  <c r="S104" i="3"/>
  <c r="S310" i="3"/>
  <c r="P305" i="3"/>
  <c r="R300" i="3"/>
  <c r="S294" i="3"/>
  <c r="P289" i="3"/>
  <c r="R284" i="3"/>
  <c r="S278" i="3"/>
  <c r="P273" i="3"/>
  <c r="R268" i="3"/>
  <c r="S262" i="3"/>
  <c r="P257" i="3"/>
  <c r="R252" i="3"/>
  <c r="S246" i="3"/>
  <c r="P241" i="3"/>
  <c r="R236" i="3"/>
  <c r="S230" i="3"/>
  <c r="P225" i="3"/>
  <c r="R220" i="3"/>
  <c r="S214" i="3"/>
  <c r="P209" i="3"/>
  <c r="R204" i="3"/>
  <c r="S198" i="3"/>
  <c r="P193" i="3"/>
  <c r="R188" i="3"/>
  <c r="S182" i="3"/>
  <c r="P177" i="3"/>
  <c r="R172" i="3"/>
  <c r="P167" i="3"/>
  <c r="Q164" i="3"/>
  <c r="S160" i="3"/>
  <c r="R157" i="3"/>
  <c r="R154" i="3"/>
  <c r="P151" i="3"/>
  <c r="Q148" i="3"/>
  <c r="P145" i="3"/>
  <c r="S142" i="3"/>
  <c r="R140" i="3"/>
  <c r="R138" i="3"/>
  <c r="R136" i="3"/>
  <c r="R134" i="3"/>
  <c r="R132" i="3"/>
  <c r="R130" i="3"/>
  <c r="R128" i="3"/>
  <c r="R126" i="3"/>
  <c r="R124" i="3"/>
  <c r="R122" i="3"/>
  <c r="R120" i="3"/>
  <c r="R118" i="3"/>
  <c r="R116" i="3"/>
  <c r="R114" i="3"/>
  <c r="R112" i="3"/>
  <c r="R110" i="3"/>
  <c r="R108" i="3"/>
  <c r="R106" i="3"/>
  <c r="R310" i="3"/>
  <c r="S304" i="3"/>
  <c r="P299" i="3"/>
  <c r="R294" i="3"/>
  <c r="S288" i="3"/>
  <c r="P283" i="3"/>
  <c r="R278" i="3"/>
  <c r="S272" i="3"/>
  <c r="P267" i="3"/>
  <c r="R262" i="3"/>
  <c r="S256" i="3"/>
  <c r="P251" i="3"/>
  <c r="R246" i="3"/>
  <c r="S240" i="3"/>
  <c r="P235" i="3"/>
  <c r="R230" i="3"/>
  <c r="S224" i="3"/>
  <c r="P219" i="3"/>
  <c r="R214" i="3"/>
  <c r="S208" i="3"/>
  <c r="P203" i="3"/>
  <c r="R198" i="3"/>
  <c r="S192" i="3"/>
  <c r="P187" i="3"/>
  <c r="R182" i="3"/>
  <c r="S176" i="3"/>
  <c r="P171" i="3"/>
  <c r="S166" i="3"/>
  <c r="R163" i="3"/>
  <c r="R160" i="3"/>
  <c r="P157" i="3"/>
  <c r="Q154" i="3"/>
  <c r="S150" i="3"/>
  <c r="R147" i="3"/>
  <c r="S144" i="3"/>
  <c r="R142" i="3"/>
  <c r="Q140" i="3"/>
  <c r="Q138" i="3"/>
  <c r="Q136" i="3"/>
  <c r="Q134" i="3"/>
  <c r="Q132" i="3"/>
  <c r="Q130" i="3"/>
  <c r="Q128" i="3"/>
  <c r="Q126" i="3"/>
  <c r="Q124" i="3"/>
  <c r="Q122" i="3"/>
  <c r="Q120" i="3"/>
  <c r="Q118" i="3"/>
  <c r="Q116" i="3"/>
  <c r="Q114" i="3"/>
  <c r="Q112" i="3"/>
  <c r="Q110" i="3"/>
  <c r="Q108" i="3"/>
  <c r="Q106" i="3"/>
  <c r="Q104" i="3"/>
  <c r="Q102" i="3"/>
  <c r="Q100" i="3"/>
  <c r="Q98" i="3"/>
  <c r="Q96" i="3"/>
  <c r="Q94" i="3"/>
  <c r="Q92" i="3"/>
  <c r="Q90" i="3"/>
  <c r="Q88" i="3"/>
  <c r="Q86" i="3"/>
  <c r="Q84" i="3"/>
  <c r="Q82" i="3"/>
  <c r="Q80" i="3"/>
  <c r="Q78" i="3"/>
  <c r="Q76" i="3"/>
  <c r="Q74" i="3"/>
  <c r="Q72" i="3"/>
  <c r="Q70" i="3"/>
  <c r="Q68" i="3"/>
  <c r="Q66" i="3"/>
  <c r="Q64" i="3"/>
  <c r="Q62" i="3"/>
  <c r="Q60" i="3"/>
  <c r="Q58" i="3"/>
  <c r="Q56" i="3"/>
  <c r="Q54" i="3"/>
  <c r="Q52" i="3"/>
  <c r="Q50" i="3"/>
  <c r="Q48" i="3"/>
  <c r="Q46" i="3"/>
  <c r="Q44" i="3"/>
  <c r="S298" i="3"/>
  <c r="P277" i="3"/>
  <c r="R256" i="3"/>
  <c r="S234" i="3"/>
  <c r="P213" i="3"/>
  <c r="R192" i="3"/>
  <c r="S170" i="3"/>
  <c r="S156" i="3"/>
  <c r="R144" i="3"/>
  <c r="P136" i="3"/>
  <c r="P128" i="3"/>
  <c r="P120" i="3"/>
  <c r="P112" i="3"/>
  <c r="R104" i="3"/>
  <c r="R100" i="3"/>
  <c r="R96" i="3"/>
  <c r="S92" i="3"/>
  <c r="P90" i="3"/>
  <c r="R87" i="3"/>
  <c r="Q85" i="3"/>
  <c r="P83" i="3"/>
  <c r="S80" i="3"/>
  <c r="R78" i="3"/>
  <c r="P76" i="3"/>
  <c r="S73" i="3"/>
  <c r="R71" i="3"/>
  <c r="Q69" i="3"/>
  <c r="P67" i="3"/>
  <c r="S64" i="3"/>
  <c r="R62" i="3"/>
  <c r="P60" i="3"/>
  <c r="S57" i="3"/>
  <c r="R55" i="3"/>
  <c r="Q53" i="3"/>
  <c r="P51" i="3"/>
  <c r="S48" i="3"/>
  <c r="R46" i="3"/>
  <c r="P44" i="3"/>
  <c r="P42" i="3"/>
  <c r="P40" i="3"/>
  <c r="P38" i="3"/>
  <c r="P36" i="3"/>
  <c r="P34" i="3"/>
  <c r="P32" i="3"/>
  <c r="P30" i="3"/>
  <c r="P28" i="3"/>
  <c r="P26" i="3"/>
  <c r="P24" i="3"/>
  <c r="P22" i="3"/>
  <c r="P20" i="3"/>
  <c r="P18" i="3"/>
  <c r="P16" i="3"/>
  <c r="P14" i="3"/>
  <c r="P12" i="3"/>
  <c r="P10" i="3"/>
  <c r="P8" i="3"/>
  <c r="Q6" i="3"/>
  <c r="P21" i="3"/>
  <c r="P15" i="3"/>
  <c r="P7" i="3"/>
  <c r="R304" i="3"/>
  <c r="S90" i="3"/>
  <c r="R74" i="3"/>
  <c r="R58" i="3"/>
  <c r="S44" i="3"/>
  <c r="R34" i="3"/>
  <c r="R30" i="3"/>
  <c r="R20" i="3"/>
  <c r="R12" i="3"/>
  <c r="R282" i="3"/>
  <c r="S129" i="3"/>
  <c r="S96" i="3"/>
  <c r="R85" i="3"/>
  <c r="Q67" i="3"/>
  <c r="R60" i="3"/>
  <c r="Q51" i="3"/>
  <c r="Q42" i="3"/>
  <c r="Q32" i="3"/>
  <c r="Q18" i="3"/>
  <c r="R6" i="3"/>
  <c r="R298" i="3"/>
  <c r="S276" i="3"/>
  <c r="P255" i="3"/>
  <c r="R234" i="3"/>
  <c r="S212" i="3"/>
  <c r="P191" i="3"/>
  <c r="R170" i="3"/>
  <c r="R156" i="3"/>
  <c r="Q144" i="3"/>
  <c r="S135" i="3"/>
  <c r="S127" i="3"/>
  <c r="S119" i="3"/>
  <c r="S111" i="3"/>
  <c r="P104" i="3"/>
  <c r="P100" i="3"/>
  <c r="P96" i="3"/>
  <c r="R92" i="3"/>
  <c r="S89" i="3"/>
  <c r="Q87" i="3"/>
  <c r="P85" i="3"/>
  <c r="S82" i="3"/>
  <c r="R80" i="3"/>
  <c r="P78" i="3"/>
  <c r="S75" i="3"/>
  <c r="R73" i="3"/>
  <c r="Q71" i="3"/>
  <c r="P69" i="3"/>
  <c r="S66" i="3"/>
  <c r="R64" i="3"/>
  <c r="P62" i="3"/>
  <c r="S59" i="3"/>
  <c r="R57" i="3"/>
  <c r="Q55" i="3"/>
  <c r="P53" i="3"/>
  <c r="S50" i="3"/>
  <c r="R48" i="3"/>
  <c r="P46" i="3"/>
  <c r="S43" i="3"/>
  <c r="S41" i="3"/>
  <c r="S39" i="3"/>
  <c r="S37" i="3"/>
  <c r="S35" i="3"/>
  <c r="S33" i="3"/>
  <c r="S31" i="3"/>
  <c r="S29" i="3"/>
  <c r="S27" i="3"/>
  <c r="S25" i="3"/>
  <c r="S23" i="3"/>
  <c r="S21" i="3"/>
  <c r="S19" i="3"/>
  <c r="S17" i="3"/>
  <c r="S15" i="3"/>
  <c r="S13" i="3"/>
  <c r="S11" i="3"/>
  <c r="S9" i="3"/>
  <c r="S7" i="3"/>
  <c r="P6" i="3"/>
  <c r="P23" i="3"/>
  <c r="P17" i="3"/>
  <c r="P9" i="3"/>
  <c r="P5" i="3"/>
  <c r="S282" i="3"/>
  <c r="P106" i="3"/>
  <c r="P79" i="3"/>
  <c r="P63" i="3"/>
  <c r="Q49" i="3"/>
  <c r="R40" i="3"/>
  <c r="R26" i="3"/>
  <c r="R14" i="3"/>
  <c r="S6" i="3"/>
  <c r="P303" i="3"/>
  <c r="R159" i="3"/>
  <c r="S113" i="3"/>
  <c r="S87" i="3"/>
  <c r="S78" i="3"/>
  <c r="R69" i="3"/>
  <c r="P58" i="3"/>
  <c r="P49" i="3"/>
  <c r="Q40" i="3"/>
  <c r="Q34" i="3"/>
  <c r="Q28" i="3"/>
  <c r="Q20" i="3"/>
  <c r="Q12" i="3"/>
  <c r="P293" i="3"/>
  <c r="R272" i="3"/>
  <c r="S250" i="3"/>
  <c r="P229" i="3"/>
  <c r="R208" i="3"/>
  <c r="S186" i="3"/>
  <c r="R166" i="3"/>
  <c r="R153" i="3"/>
  <c r="Q142" i="3"/>
  <c r="P134" i="3"/>
  <c r="P126" i="3"/>
  <c r="P118" i="3"/>
  <c r="P110" i="3"/>
  <c r="S103" i="3"/>
  <c r="S99" i="3"/>
  <c r="S95" i="3"/>
  <c r="P92" i="3"/>
  <c r="R89" i="3"/>
  <c r="P87" i="3"/>
  <c r="S84" i="3"/>
  <c r="R82" i="3"/>
  <c r="P80" i="3"/>
  <c r="S77" i="3"/>
  <c r="R75" i="3"/>
  <c r="Q73" i="3"/>
  <c r="P71" i="3"/>
  <c r="S68" i="3"/>
  <c r="R66" i="3"/>
  <c r="P64" i="3"/>
  <c r="S61" i="3"/>
  <c r="R59" i="3"/>
  <c r="Q57" i="3"/>
  <c r="P55" i="3"/>
  <c r="S52" i="3"/>
  <c r="R50" i="3"/>
  <c r="P48" i="3"/>
  <c r="S45" i="3"/>
  <c r="R43" i="3"/>
  <c r="R41" i="3"/>
  <c r="R39" i="3"/>
  <c r="R37" i="3"/>
  <c r="R35" i="3"/>
  <c r="R33" i="3"/>
  <c r="R31" i="3"/>
  <c r="R29" i="3"/>
  <c r="R27" i="3"/>
  <c r="R25" i="3"/>
  <c r="R23" i="3"/>
  <c r="R21" i="3"/>
  <c r="R19" i="3"/>
  <c r="R17" i="3"/>
  <c r="R15" i="3"/>
  <c r="R13" i="3"/>
  <c r="R11" i="3"/>
  <c r="R9" i="3"/>
  <c r="R7" i="3"/>
  <c r="S5" i="3"/>
  <c r="P27" i="3"/>
  <c r="P13" i="3"/>
  <c r="P261" i="3"/>
  <c r="P130" i="3"/>
  <c r="S85" i="3"/>
  <c r="R67" i="3"/>
  <c r="R51" i="3"/>
  <c r="R36" i="3"/>
  <c r="R18" i="3"/>
  <c r="R8" i="3"/>
  <c r="P239" i="3"/>
  <c r="S196" i="3"/>
  <c r="S137" i="3"/>
  <c r="S105" i="3"/>
  <c r="R90" i="3"/>
  <c r="Q83" i="3"/>
  <c r="R76" i="3"/>
  <c r="S62" i="3"/>
  <c r="R53" i="3"/>
  <c r="R44" i="3"/>
  <c r="Q36" i="3"/>
  <c r="Q26" i="3"/>
  <c r="Q14" i="3"/>
  <c r="Q8" i="3"/>
  <c r="S292" i="3"/>
  <c r="P271" i="3"/>
  <c r="R250" i="3"/>
  <c r="S228" i="3"/>
  <c r="P207" i="3"/>
  <c r="R186" i="3"/>
  <c r="Q166" i="3"/>
  <c r="P153" i="3"/>
  <c r="P142" i="3"/>
  <c r="S133" i="3"/>
  <c r="S125" i="3"/>
  <c r="S117" i="3"/>
  <c r="S109" i="3"/>
  <c r="S102" i="3"/>
  <c r="S98" i="3"/>
  <c r="S94" i="3"/>
  <c r="S91" i="3"/>
  <c r="Q89" i="3"/>
  <c r="S86" i="3"/>
  <c r="R84" i="3"/>
  <c r="P82" i="3"/>
  <c r="S79" i="3"/>
  <c r="R77" i="3"/>
  <c r="Q75" i="3"/>
  <c r="P73" i="3"/>
  <c r="S70" i="3"/>
  <c r="R68" i="3"/>
  <c r="P66" i="3"/>
  <c r="S63" i="3"/>
  <c r="R61" i="3"/>
  <c r="Q59" i="3"/>
  <c r="P57" i="3"/>
  <c r="S54" i="3"/>
  <c r="R52" i="3"/>
  <c r="P50" i="3"/>
  <c r="S47" i="3"/>
  <c r="R45" i="3"/>
  <c r="Q43" i="3"/>
  <c r="Q41" i="3"/>
  <c r="Q39" i="3"/>
  <c r="Q37" i="3"/>
  <c r="Q35" i="3"/>
  <c r="Q33" i="3"/>
  <c r="Q31" i="3"/>
  <c r="Q29" i="3"/>
  <c r="Q27" i="3"/>
  <c r="Q25" i="3"/>
  <c r="Q23" i="3"/>
  <c r="Q21" i="3"/>
  <c r="Q19" i="3"/>
  <c r="Q17" i="3"/>
  <c r="Q15" i="3"/>
  <c r="Q13" i="3"/>
  <c r="Q11" i="3"/>
  <c r="Q9" i="3"/>
  <c r="Q7" i="3"/>
  <c r="R5" i="3"/>
  <c r="P29" i="3"/>
  <c r="P11" i="3"/>
  <c r="Q5" i="3"/>
  <c r="R240" i="3"/>
  <c r="P138" i="3"/>
  <c r="P88" i="3"/>
  <c r="S69" i="3"/>
  <c r="P56" i="3"/>
  <c r="P47" i="3"/>
  <c r="R38" i="3"/>
  <c r="R32" i="3"/>
  <c r="R24" i="3"/>
  <c r="R16" i="3"/>
  <c r="R10" i="3"/>
  <c r="S260" i="3"/>
  <c r="P175" i="3"/>
  <c r="S121" i="3"/>
  <c r="R93" i="3"/>
  <c r="P81" i="3"/>
  <c r="S71" i="3"/>
  <c r="S55" i="3"/>
  <c r="S46" i="3"/>
  <c r="Q38" i="3"/>
  <c r="Q30" i="3"/>
  <c r="Q16" i="3"/>
  <c r="Q10" i="3"/>
  <c r="P309" i="3"/>
  <c r="R288" i="3"/>
  <c r="S266" i="3"/>
  <c r="P245" i="3"/>
  <c r="R224" i="3"/>
  <c r="S202" i="3"/>
  <c r="P181" i="3"/>
  <c r="P163" i="3"/>
  <c r="R150" i="3"/>
  <c r="P140" i="3"/>
  <c r="P132" i="3"/>
  <c r="P124" i="3"/>
  <c r="P116" i="3"/>
  <c r="P108" i="3"/>
  <c r="R102" i="3"/>
  <c r="R98" i="3"/>
  <c r="R94" i="3"/>
  <c r="R91" i="3"/>
  <c r="S88" i="3"/>
  <c r="R86" i="3"/>
  <c r="P84" i="3"/>
  <c r="S81" i="3"/>
  <c r="R79" i="3"/>
  <c r="Q77" i="3"/>
  <c r="P75" i="3"/>
  <c r="S72" i="3"/>
  <c r="R70" i="3"/>
  <c r="P68" i="3"/>
  <c r="S65" i="3"/>
  <c r="R63" i="3"/>
  <c r="Q61" i="3"/>
  <c r="P59" i="3"/>
  <c r="S56" i="3"/>
  <c r="R54" i="3"/>
  <c r="P52" i="3"/>
  <c r="S49" i="3"/>
  <c r="R47" i="3"/>
  <c r="Q45" i="3"/>
  <c r="P43" i="3"/>
  <c r="P41" i="3"/>
  <c r="P39" i="3"/>
  <c r="P37" i="3"/>
  <c r="P35" i="3"/>
  <c r="P33" i="3"/>
  <c r="P31" i="3"/>
  <c r="P25" i="3"/>
  <c r="P19" i="3"/>
  <c r="S218" i="3"/>
  <c r="R176" i="3"/>
  <c r="Q160" i="3"/>
  <c r="P147" i="3"/>
  <c r="P114" i="3"/>
  <c r="S101" i="3"/>
  <c r="S93" i="3"/>
  <c r="R83" i="3"/>
  <c r="S76" i="3"/>
  <c r="P72" i="3"/>
  <c r="Q65" i="3"/>
  <c r="S53" i="3"/>
  <c r="R42" i="3"/>
  <c r="R22" i="3"/>
  <c r="V4" i="3"/>
  <c r="P74" i="3"/>
  <c r="Q24" i="3"/>
  <c r="S308" i="3"/>
  <c r="P287" i="3"/>
  <c r="R266" i="3"/>
  <c r="S244" i="3"/>
  <c r="P223" i="3"/>
  <c r="R202" i="3"/>
  <c r="S180" i="3"/>
  <c r="S162" i="3"/>
  <c r="Q150" i="3"/>
  <c r="S139" i="3"/>
  <c r="S131" i="3"/>
  <c r="S123" i="3"/>
  <c r="S115" i="3"/>
  <c r="S107" i="3"/>
  <c r="P102" i="3"/>
  <c r="P98" i="3"/>
  <c r="P94" i="3"/>
  <c r="Q91" i="3"/>
  <c r="R88" i="3"/>
  <c r="P86" i="3"/>
  <c r="S83" i="3"/>
  <c r="R81" i="3"/>
  <c r="Q79" i="3"/>
  <c r="P77" i="3"/>
  <c r="S74" i="3"/>
  <c r="R72" i="3"/>
  <c r="P70" i="3"/>
  <c r="S67" i="3"/>
  <c r="R65" i="3"/>
  <c r="Q63" i="3"/>
  <c r="P61" i="3"/>
  <c r="S58" i="3"/>
  <c r="R56" i="3"/>
  <c r="P54" i="3"/>
  <c r="S51" i="3"/>
  <c r="R49" i="3"/>
  <c r="Q47" i="3"/>
  <c r="P45" i="3"/>
  <c r="S42" i="3"/>
  <c r="S40" i="3"/>
  <c r="S38" i="3"/>
  <c r="S36" i="3"/>
  <c r="S34" i="3"/>
  <c r="S32" i="3"/>
  <c r="S30" i="3"/>
  <c r="S28" i="3"/>
  <c r="S26" i="3"/>
  <c r="S24" i="3"/>
  <c r="S22" i="3"/>
  <c r="S20" i="3"/>
  <c r="S18" i="3"/>
  <c r="S16" i="3"/>
  <c r="S14" i="3"/>
  <c r="S12" i="3"/>
  <c r="S10" i="3"/>
  <c r="S8" i="3"/>
  <c r="V6" i="3"/>
  <c r="P197" i="3"/>
  <c r="P122" i="3"/>
  <c r="S97" i="3"/>
  <c r="Q81" i="3"/>
  <c r="S60" i="3"/>
  <c r="R28" i="3"/>
  <c r="R218" i="3"/>
  <c r="S146" i="3"/>
  <c r="S100" i="3"/>
  <c r="P65" i="3"/>
  <c r="Q22" i="3"/>
  <c r="J4" i="2"/>
  <c r="T33" i="2"/>
  <c r="G4" i="2"/>
  <c r="D4" i="2"/>
  <c r="N27" i="2" s="1"/>
  <c r="R33" i="2"/>
  <c r="V33" i="2" s="1"/>
  <c r="P31" i="2"/>
  <c r="T32" i="2" s="1"/>
  <c r="O28" i="2"/>
  <c r="P25" i="2"/>
  <c r="M24" i="2"/>
  <c r="P18" i="2"/>
  <c r="P15" i="2"/>
  <c r="O11" i="2"/>
  <c r="O7" i="2"/>
  <c r="P20" i="2"/>
  <c r="O20" i="2"/>
  <c r="P9" i="2"/>
  <c r="O26" i="2"/>
  <c r="M19" i="2"/>
  <c r="M13" i="2"/>
  <c r="P27" i="2"/>
  <c r="O24" i="2"/>
  <c r="P14" i="2"/>
  <c r="A4" i="2"/>
  <c r="O31" i="2"/>
  <c r="S31" i="2" s="1"/>
  <c r="M30" i="2"/>
  <c r="M27" i="2"/>
  <c r="O25" i="2"/>
  <c r="M21" i="2"/>
  <c r="O18" i="2"/>
  <c r="P16" i="2"/>
  <c r="T16" i="2" s="1"/>
  <c r="O15" i="2"/>
  <c r="M14" i="2"/>
  <c r="Q14" i="2" s="1"/>
  <c r="U14" i="2" s="1"/>
  <c r="P12" i="2"/>
  <c r="P8" i="2"/>
  <c r="M6" i="2"/>
  <c r="O19" i="2"/>
  <c r="P26" i="2"/>
  <c r="P23" i="2"/>
  <c r="M8" i="2"/>
  <c r="M22" i="2"/>
  <c r="Q22" i="2" s="1"/>
  <c r="U22" i="2" s="1"/>
  <c r="O9" i="2"/>
  <c r="P29" i="2"/>
  <c r="M28" i="2"/>
  <c r="Q28" i="2" s="1"/>
  <c r="U28" i="2" s="1"/>
  <c r="N25" i="2"/>
  <c r="P22" i="2"/>
  <c r="P19" i="2"/>
  <c r="O16" i="2"/>
  <c r="S16" i="2" s="1"/>
  <c r="P13" i="2"/>
  <c r="O12" i="2"/>
  <c r="M11" i="2"/>
  <c r="O8" i="2"/>
  <c r="M7" i="2"/>
  <c r="Q7" i="2" s="1"/>
  <c r="U7" i="2" s="1"/>
  <c r="P5" i="2"/>
  <c r="M25" i="2"/>
  <c r="Q25" i="2" s="1"/>
  <c r="U25" i="2" s="1"/>
  <c r="O22" i="2"/>
  <c r="S22" i="2" s="1"/>
  <c r="M18" i="2"/>
  <c r="Q18" i="2" s="1"/>
  <c r="U18" i="2" s="1"/>
  <c r="M15" i="2"/>
  <c r="Q15" i="2" s="1"/>
  <c r="U15" i="2" s="1"/>
  <c r="N29" i="2"/>
  <c r="M16" i="2"/>
  <c r="M12" i="2"/>
  <c r="P24" i="2"/>
  <c r="P30" i="2"/>
  <c r="M20" i="2"/>
  <c r="Q20" i="2" s="1"/>
  <c r="U20" i="2" s="1"/>
  <c r="M31" i="2"/>
  <c r="O30" i="2"/>
  <c r="P28" i="2"/>
  <c r="O27" i="2"/>
  <c r="S27" i="2" s="1"/>
  <c r="M26" i="2"/>
  <c r="Q26" i="2" s="1"/>
  <c r="U26" i="2" s="1"/>
  <c r="M23" i="2"/>
  <c r="Q23" i="2" s="1"/>
  <c r="U23" i="2" s="1"/>
  <c r="O21" i="2"/>
  <c r="M17" i="2"/>
  <c r="Q17" i="2" s="1"/>
  <c r="U17" i="2" s="1"/>
  <c r="O14" i="2"/>
  <c r="P11" i="2"/>
  <c r="M10" i="2"/>
  <c r="M9" i="2"/>
  <c r="Q9" i="2" s="1"/>
  <c r="U9" i="2" s="1"/>
  <c r="P7" i="2"/>
  <c r="O6" i="2"/>
  <c r="O29" i="2"/>
  <c r="O13" i="2"/>
  <c r="O5" i="2"/>
  <c r="P17" i="2"/>
  <c r="P10" i="2"/>
  <c r="M29" i="2"/>
  <c r="Q29" i="2" s="1"/>
  <c r="U29" i="2" s="1"/>
  <c r="O23" i="2"/>
  <c r="O17" i="2"/>
  <c r="O10" i="2"/>
  <c r="M5" i="2"/>
  <c r="P21" i="2"/>
  <c r="P6" i="2"/>
  <c r="M4" i="2"/>
  <c r="O4" i="2"/>
  <c r="P4" i="2"/>
  <c r="S4" i="3" l="1"/>
  <c r="R4" i="3"/>
  <c r="Q4" i="3"/>
  <c r="P4" i="3"/>
  <c r="V5" i="3" s="1"/>
  <c r="T13" i="2"/>
  <c r="T29" i="2"/>
  <c r="T12" i="2"/>
  <c r="N10" i="2"/>
  <c r="N8" i="2"/>
  <c r="N9" i="2"/>
  <c r="N5" i="2"/>
  <c r="N24" i="2"/>
  <c r="N7" i="2"/>
  <c r="N17" i="2"/>
  <c r="R17" i="2" s="1"/>
  <c r="V17" i="2" s="1"/>
  <c r="N18" i="2"/>
  <c r="R18" i="2" s="1"/>
  <c r="V18" i="2" s="1"/>
  <c r="N28" i="2"/>
  <c r="N30" i="2"/>
  <c r="N13" i="2"/>
  <c r="N26" i="2"/>
  <c r="N22" i="2"/>
  <c r="N14" i="2"/>
  <c r="N19" i="2"/>
  <c r="R19" i="2" s="1"/>
  <c r="V19" i="2" s="1"/>
  <c r="N11" i="2"/>
  <c r="R11" i="2" s="1"/>
  <c r="V11" i="2" s="1"/>
  <c r="N16" i="2"/>
  <c r="N21" i="2"/>
  <c r="N4" i="2"/>
  <c r="R5" i="2" s="1"/>
  <c r="V5" i="2" s="1"/>
  <c r="N20" i="2"/>
  <c r="R21" i="2" s="1"/>
  <c r="V21" i="2" s="1"/>
  <c r="N15" i="2"/>
  <c r="R16" i="2" s="1"/>
  <c r="V16" i="2" s="1"/>
  <c r="N31" i="2"/>
  <c r="R32" i="2" s="1"/>
  <c r="V32" i="2" s="1"/>
  <c r="N6" i="2"/>
  <c r="R7" i="2" s="1"/>
  <c r="V7" i="2" s="1"/>
  <c r="N23" i="2"/>
  <c r="R24" i="2" s="1"/>
  <c r="V24" i="2" s="1"/>
  <c r="N12" i="2"/>
  <c r="R13" i="2" s="1"/>
  <c r="V13" i="2" s="1"/>
  <c r="T20" i="2"/>
  <c r="T10" i="2"/>
  <c r="T17" i="2"/>
  <c r="T28" i="2"/>
  <c r="T21" i="2"/>
  <c r="T5" i="2"/>
  <c r="T7" i="2"/>
  <c r="T6" i="2"/>
  <c r="T24" i="2"/>
  <c r="S19" i="2"/>
  <c r="S21" i="2"/>
  <c r="S29" i="2"/>
  <c r="S5" i="2"/>
  <c r="S10" i="2"/>
  <c r="S6" i="2"/>
  <c r="S20" i="2"/>
  <c r="S15" i="2"/>
  <c r="S23" i="2"/>
  <c r="S17" i="2"/>
  <c r="S12" i="2"/>
  <c r="S32" i="2"/>
  <c r="R8" i="2"/>
  <c r="V8" i="2" s="1"/>
  <c r="R6" i="2"/>
  <c r="V6" i="2" s="1"/>
  <c r="R10" i="2"/>
  <c r="V10" i="2" s="1"/>
  <c r="T31" i="2"/>
  <c r="T30" i="2"/>
  <c r="Q11" i="2"/>
  <c r="U11" i="2" s="1"/>
  <c r="R25" i="2"/>
  <c r="V25" i="2" s="1"/>
  <c r="T8" i="2"/>
  <c r="S25" i="2"/>
  <c r="T19" i="2"/>
  <c r="T18" i="2"/>
  <c r="Q27" i="2"/>
  <c r="U27" i="2" s="1"/>
  <c r="S24" i="2"/>
  <c r="Q24" i="2"/>
  <c r="U24" i="2" s="1"/>
  <c r="Q30" i="2"/>
  <c r="U30" i="2" s="1"/>
  <c r="T25" i="2"/>
  <c r="R28" i="2"/>
  <c r="V28" i="2" s="1"/>
  <c r="R27" i="2"/>
  <c r="V27" i="2" s="1"/>
  <c r="T27" i="2"/>
  <c r="T26" i="2"/>
  <c r="Q19" i="2"/>
  <c r="U19" i="2" s="1"/>
  <c r="S7" i="2"/>
  <c r="R26" i="2"/>
  <c r="V26" i="2" s="1"/>
  <c r="S14" i="2"/>
  <c r="S30" i="2"/>
  <c r="Q16" i="2"/>
  <c r="U16" i="2" s="1"/>
  <c r="S9" i="2"/>
  <c r="S26" i="2"/>
  <c r="S11" i="2"/>
  <c r="S28" i="2"/>
  <c r="Q10" i="2"/>
  <c r="U10" i="2" s="1"/>
  <c r="S13" i="2"/>
  <c r="R22" i="2"/>
  <c r="V22" i="2" s="1"/>
  <c r="Q6" i="2"/>
  <c r="U6" i="2" s="1"/>
  <c r="S18" i="2"/>
  <c r="R9" i="2"/>
  <c r="V9" i="2" s="1"/>
  <c r="R14" i="2"/>
  <c r="V14" i="2" s="1"/>
  <c r="R30" i="2"/>
  <c r="V30" i="2" s="1"/>
  <c r="T11" i="2"/>
  <c r="Q13" i="2"/>
  <c r="U13" i="2" s="1"/>
  <c r="Q12" i="2"/>
  <c r="U12" i="2" s="1"/>
  <c r="Q32" i="2"/>
  <c r="U32" i="2" s="1"/>
  <c r="Q31" i="2"/>
  <c r="U31" i="2" s="1"/>
  <c r="Q5" i="2"/>
  <c r="Y5" i="2" s="1"/>
  <c r="R29" i="2"/>
  <c r="V29" i="2" s="1"/>
  <c r="S8" i="2"/>
  <c r="T23" i="2"/>
  <c r="T22" i="2"/>
  <c r="Q8" i="2"/>
  <c r="U8" i="2" s="1"/>
  <c r="Q21" i="2"/>
  <c r="U21" i="2" s="1"/>
  <c r="T15" i="2"/>
  <c r="T14" i="2"/>
  <c r="T9" i="2"/>
  <c r="R12" i="2" l="1"/>
  <c r="V12" i="2" s="1"/>
  <c r="R23" i="2"/>
  <c r="V23" i="2" s="1"/>
  <c r="R20" i="2"/>
  <c r="V20" i="2" s="1"/>
  <c r="R31" i="2"/>
  <c r="V31" i="2" s="1"/>
  <c r="R15" i="2"/>
  <c r="V15" i="2" s="1"/>
  <c r="Y9" i="2" s="1"/>
  <c r="Y11" i="2"/>
  <c r="Y10" i="2"/>
  <c r="Y6" i="2"/>
  <c r="U5" i="2"/>
  <c r="Y7" i="2" s="1"/>
  <c r="Y8" i="2" l="1"/>
  <c r="Y1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<sst xmlns="http://schemas.openxmlformats.org/spreadsheetml/2006/main" count="76" uniqueCount="72">
  <si>
    <t>Bloomberg pull v2 — V-M3 yield check and FX round 2 (per-ticker BDH, date-anchored columns)</t>
  </si>
  <si>
    <t>Rebuilt 2026-08-24 after the v1 array formulas failed on this terminal's locale. Every pull is now a single-ticker BDH carrying its OWN date column, so nothing depends on array syntax and nothing can misalign silently.</t>
  </si>
  <si>
    <t>HOW TO USE</t>
  </si>
  <si>
    <t>1. On each data tab, every yellow cell in row 2 holds one formula as text. Copy each into the cell named beside it in row 3 (its anchor), pressing Enter each time. Type/paste as plain text.</t>
  </si>
  <si>
    <t>2. Each BDH fills TWO columns: its own dates, then values. The grey statistics fill themselves; they match each series to the master date column by exact date (INDEX/MATCH), so even series with shorter histories (the OAS, the linker if you add one) align correctly.</t>
  </si>
  <si>
    <t>3. Check the row counters in the stats block, read the verdict cell, save as .xlsx.</t>
  </si>
  <si>
    <t>4. Drop the saved file into simple_alm/calibration/data/ and run calibration/check_bond_vol_history_v2.py — it recomputes everything independently and prints the provenance line.</t>
  </si>
  <si>
    <t>TAB: Bund_yields — the V-M3 check. Pass criterion (pre-registered 22 Aug, before any data): sd of year-end changes in the 30y Bund yield within 60–80bp. Model long_rate innovation 70bp ⇒ analytic annual-change sd 73bp.</t>
  </si>
  <si>
    <t>Tickers: GDBR10 Index (high confidence) · GDBR30 Index (high) · LECPOAS Index, Euro-Agg Corporate OAS in bp (high) · optional 4th slot for a euro 10y linker — verify the ticker on SECF first (candidates: GTDEMII10Y Govt, GTFRII10Y Govt); leave empty if not found, the stats blank themselves.</t>
  </si>
  <si>
    <t>TAB: FX_round2 — EURUSD, EURCHF, EURCAD, EURAUD, EURNZD, monthly, Jan-2001 to Jul-2026. USD crosses computed in-sheet by date match. The CHF regression result is the one that matters (its current inflation loading is negative and contradicts its own comment).</t>
  </si>
  <si>
    <t>Blue = your inputs. Black = formulas. Yellow = formula text to copy into the anchor named beside it.</t>
  </si>
  <si>
    <t>V-M3 check — year-end long euro yields, per-ticker pulls with own date columns</t>
  </si>
  <si>
    <t>=BDH("GDBR10 Index","PX_LAST","19981231","20251231","Per=cy","Dir=V","Dts=S")</t>
  </si>
  <si>
    <t>=BDH("GDBR30 Index","PX_LAST","19981231","20251231","Per=cy","Dir=V","Dts=S")</t>
  </si>
  <si>
    <t>=BDH("LECPOAS Index","PX_LAST","19981231","20251231","Per=cy","Dir=V","Dts=S")</t>
  </si>
  <si>
    <t>(verify linker ticker on SECF, then build the same formula)</t>
  </si>
  <si>
    <t>→ paste into A4</t>
  </si>
  <si>
    <t>10y</t>
  </si>
  <si>
    <t>→ paste into D4</t>
  </si>
  <si>
    <t>30y</t>
  </si>
  <si>
    <t>→ paste into G4</t>
  </si>
  <si>
    <t>IG OAS (bp)</t>
  </si>
  <si>
    <t>→ paste into J4</t>
  </si>
  <si>
    <t>real 10y</t>
  </si>
  <si>
    <t>10y@date</t>
  </si>
  <si>
    <t>30y@date</t>
  </si>
  <si>
    <t>OAS@date</t>
  </si>
  <si>
    <t>real@date</t>
  </si>
  <si>
    <t>Δ10y bp</t>
  </si>
  <si>
    <t>Δ30y bp</t>
  </si>
  <si>
    <t>ΔOAS bp</t>
  </si>
  <si>
    <t>Δreal bp</t>
  </si>
  <si>
    <t>Δ10y ex22</t>
  </si>
  <si>
    <t>Δ30y ex22</t>
  </si>
  <si>
    <t>Statistics (fill automatically)</t>
  </si>
  <si>
    <t>n annual changes, 10y</t>
  </si>
  <si>
    <t>sd Δ10y incl. 2022 (bp)</t>
  </si>
  <si>
    <t>band 70–95</t>
  </si>
  <si>
    <t>sd Δ10y excl. 2022 (bp)</t>
  </si>
  <si>
    <t>sd Δ30y incl. 2022 (bp)</t>
  </si>
  <si>
    <t>PASS band 60–80 → long_rate 70bp stands</t>
  </si>
  <si>
    <t>sd Δ30y excl. 2022 (bp)</t>
  </si>
  <si>
    <t>sd ΔOAS (bp)</t>
  </si>
  <si>
    <t>model annual-change ≈ 49bp</t>
  </si>
  <si>
    <t>sd Δreal (bp)</t>
  </si>
  <si>
    <t>model innovation 65bp; optional</t>
  </si>
  <si>
    <t>Model long_rate Δ-sd (bp)</t>
  </si>
  <si>
    <t>from Φ,Σ at 8f01503 — figure under test</t>
  </si>
  <si>
    <t>Verdict 30y</t>
  </si>
  <si>
    <t>FX round 2 — monthly EUR crosses, per-ticker pulls; USD legs crossed by date match</t>
  </si>
  <si>
    <t>=BDH("EURUSD Curncy","PX_LAST","20010131","20260731","Per=cm","Dir=V","Dts=S")</t>
  </si>
  <si>
    <t>=BDH("EURCHF Curncy","PX_LAST","20010131","20260731","Per=cm","Dir=V","Dts=S")</t>
  </si>
  <si>
    <t>=BDH("EURCAD Curncy","PX_LAST","20010131","20260731","Per=cm","Dir=V","Dts=S")</t>
  </si>
  <si>
    <t>=BDH("EURAUD Curncy","PX_LAST","20010131","20260731","Per=cm","Dir=V","Dts=S")</t>
  </si>
  <si>
    <t>=BDH("EURNZD Curncy","PX_LAST","20010131","20260731","Per=cm","Dir=V","Dts=S")</t>
  </si>
  <si>
    <t>EURUSD</t>
  </si>
  <si>
    <t>EURCHF</t>
  </si>
  <si>
    <t>EURCAD</t>
  </si>
  <si>
    <t>EURAUD</t>
  </si>
  <si>
    <t>→ paste into M4</t>
  </si>
  <si>
    <t>EURNZD</t>
  </si>
  <si>
    <t>USDCHF</t>
  </si>
  <si>
    <t>USDCAD</t>
  </si>
  <si>
    <t>USDAUD</t>
  </si>
  <si>
    <t>USDNZD</t>
  </si>
  <si>
    <t>Checks</t>
  </si>
  <si>
    <t>EURUSD rows</t>
  </si>
  <si>
    <t>expect 307 (Jan-01…Jul-26)</t>
  </si>
  <si>
    <t>crosses filled</t>
  </si>
  <si>
    <t>should equal EURUSD rows</t>
  </si>
  <si>
    <t>last date</t>
  </si>
  <si>
    <t>Convention: USDCHF = EURCHF/EURUSD = CHF per USD — the USD-leg convention fx_loading_calibration.py expects; verify against its docstring.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</si>
</sst>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yyyy\-mm\-dd"/>
  </numFmts>
  <fonts count="6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i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EEE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4" fillId="2" borderId="0" xfId="0" applyFont="1" applyFill="1"/>
    <xf numFmtId="0" fontId="5" fillId="0" borderId="0" xfId="0" applyFont="1"/>
    <xf numFmtId="0" fontId="3" fillId="0" borderId="0" xfId="0" applyFont="1"/>
    <xf numFmtId="0" fontId="3" fillId="3" borderId="0" xfId="0" applyFont="1" applyFill="1"/>
    <xf numFmtId="0" fontId="2" fillId="3" borderId="0" xfId="0" applyFont="1" applyFill="1"/>
    <xf numFmtId="164" fontId="0" fillId="3" borderId="0" xfId="0" applyNumberFormat="1" applyFill="1"/>
    <xf numFmtId="164" fontId="4" fillId="3" borderId="0" xfId="0" applyNumberFormat="1" applyFont="1" applyFill="1"/>
    <xf numFmtId="165" fontId="0" fillId="0" borderId="0" xfId="0" applyNumberFormat="1"/>
    <xf numFmtId="0" fontId="0" fillId="3" borderId="0" xfId="0" applyFill="1"/>
    <xf numFmtId="16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BDH|11449126042342073994</stp>
        <tr r="G4" s="2"/>
      </tp>
      <tp t="s">
        <v>#N/A N/A</v>
        <stp/>
        <stp>BDH|13819932844851353202</stp>
        <tr r="A4" s="2"/>
      </tp>
      <tp t="s">
        <v>#N/A N/A</v>
        <stp/>
        <stp>BDH|14745196458846388749</stp>
        <tr r="A4" s="3"/>
      </tp>
    </main>
    <main first="bofaddin.rtdserver">
      <tp t="s">
        <v>#N/A N/A</v>
        <stp/>
        <stp>BDH|7344447743859588295</stp>
        <tr r="M4" s="3"/>
      </tp>
      <tp t="s">
        <v>#N/A N/A</v>
        <stp/>
        <stp>BDH|1980394498543482616</stp>
        <tr r="G4" s="3"/>
      </tp>
      <tp t="s">
        <v>#N/A N/A</v>
        <stp/>
        <stp>BDH|5120786942294054287</stp>
        <tr r="J4" s="3"/>
      </tp>
      <tp t="s">
        <v>#N/A N/A</v>
        <stp/>
        <stp>BDH|2324362319443886247</stp>
        <tr r="D4" s="3"/>
      </tp>
      <tp t="s">
        <v>#N/A N/A</v>
        <stp/>
        <stp>BDH|42295413968914466</stp>
        <tr r="D4" s="2"/>
      </tp>
      <tp t="s">
        <v>#N/A N/A</v>
        <stp/>
        <stp>BDH|3493968239342742850</stp>
        <tr r="J4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zoomScaleNormal="100" workbookViewId="0"/>
  </sheetViews>
  <sheetFormatPr defaultColWidth="8.7109375" defaultRowHeight="15" x14ac:dyDescent="0.25"/>
  <cols>
    <col min="1" max="1" width="130" customWidth="1"/>
  </cols>
  <sheetData>
    <row r="1" spans="1:1" ht="15.75" x14ac:dyDescent="0.25">
      <c r="A1" s="1" t="s">
        <v>0</v>
      </c>
    </row>
    <row r="2" spans="1:1" ht="28.5" x14ac:dyDescent="0.25">
      <c r="A2" s="2" t="s">
        <v>1</v>
      </c>
    </row>
    <row r="3" spans="1:1" x14ac:dyDescent="0.25">
      <c r="A3" s="2"/>
    </row>
    <row r="4" spans="1:1" x14ac:dyDescent="0.25">
      <c r="A4" s="3" t="s">
        <v>2</v>
      </c>
    </row>
    <row r="5" spans="1:1" ht="28.5" x14ac:dyDescent="0.25">
      <c r="A5" s="2" t="s">
        <v>3</v>
      </c>
    </row>
    <row r="6" spans="1:1" ht="28.5" x14ac:dyDescent="0.25">
      <c r="A6" s="2" t="s">
        <v>4</v>
      </c>
    </row>
    <row r="7" spans="1:1" x14ac:dyDescent="0.25">
      <c r="A7" s="2" t="s">
        <v>5</v>
      </c>
    </row>
    <row r="8" spans="1:1" ht="28.5" x14ac:dyDescent="0.25">
      <c r="A8" s="2" t="s">
        <v>6</v>
      </c>
    </row>
    <row r="9" spans="1:1" x14ac:dyDescent="0.25">
      <c r="A9" s="2"/>
    </row>
    <row r="10" spans="1:1" ht="28.5" x14ac:dyDescent="0.25">
      <c r="A10" s="2" t="s">
        <v>7</v>
      </c>
    </row>
    <row r="11" spans="1:1" ht="42.75" x14ac:dyDescent="0.25">
      <c r="A11" s="2" t="s">
        <v>8</v>
      </c>
    </row>
    <row r="12" spans="1:1" ht="42.75" x14ac:dyDescent="0.25">
      <c r="A12" s="2" t="s">
        <v>9</v>
      </c>
    </row>
    <row r="13" spans="1:1" x14ac:dyDescent="0.25">
      <c r="A13" s="2"/>
    </row>
    <row r="14" spans="1:1" x14ac:dyDescent="0.25">
      <c r="A14" s="2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3"/>
  <sheetViews>
    <sheetView zoomScaleNormal="100" workbookViewId="0">
      <selection activeCell="J5" sqref="J5"/>
    </sheetView>
  </sheetViews>
  <sheetFormatPr defaultColWidth="8.7109375" defaultRowHeight="15" x14ac:dyDescent="0.25"/>
  <cols>
    <col min="1" max="1" width="12" customWidth="1"/>
    <col min="2" max="2" width="9" customWidth="1"/>
    <col min="3" max="3" width="2" customWidth="1"/>
    <col min="4" max="4" width="12" customWidth="1"/>
    <col min="5" max="5" width="9" customWidth="1"/>
    <col min="6" max="6" width="2" customWidth="1"/>
    <col min="7" max="7" width="12" customWidth="1"/>
    <col min="8" max="8" width="10" customWidth="1"/>
    <col min="9" max="9" width="2" customWidth="1"/>
    <col min="10" max="10" width="12" customWidth="1"/>
    <col min="11" max="11" width="9" customWidth="1"/>
    <col min="12" max="12" width="2" customWidth="1"/>
    <col min="13" max="14" width="9" customWidth="1"/>
    <col min="15" max="15" width="10" customWidth="1"/>
    <col min="16" max="20" width="9" customWidth="1"/>
    <col min="21" max="22" width="10" customWidth="1"/>
    <col min="23" max="23" width="2" customWidth="1"/>
    <col min="24" max="24" width="26" customWidth="1"/>
    <col min="25" max="25" width="10" customWidth="1"/>
    <col min="26" max="26" width="44" customWidth="1"/>
  </cols>
  <sheetData>
    <row r="1" spans="1:26" ht="15.75" x14ac:dyDescent="0.25">
      <c r="A1" s="4" t="s">
        <v>11</v>
      </c>
    </row>
    <row r="2" spans="1:26" x14ac:dyDescent="0.25">
      <c r="A2" s="5" t="s">
        <v>12</v>
      </c>
      <c r="D2" s="5" t="s">
        <v>13</v>
      </c>
      <c r="G2" s="5" t="s">
        <v>14</v>
      </c>
      <c r="J2" s="5" t="s">
        <v>15</v>
      </c>
    </row>
    <row r="3" spans="1:26" x14ac:dyDescent="0.25">
      <c r="A3" s="6" t="s">
        <v>16</v>
      </c>
      <c r="B3" s="7" t="s">
        <v>17</v>
      </c>
      <c r="D3" s="6" t="s">
        <v>18</v>
      </c>
      <c r="E3" s="7" t="s">
        <v>19</v>
      </c>
      <c r="G3" s="6" t="s">
        <v>20</v>
      </c>
      <c r="H3" s="7" t="s">
        <v>21</v>
      </c>
      <c r="J3" s="6" t="s">
        <v>22</v>
      </c>
      <c r="K3" s="7" t="s">
        <v>23</v>
      </c>
      <c r="M3" s="7" t="s">
        <v>24</v>
      </c>
      <c r="N3" s="7" t="s">
        <v>25</v>
      </c>
      <c r="O3" s="7" t="s">
        <v>26</v>
      </c>
      <c r="P3" s="7" t="s">
        <v>27</v>
      </c>
      <c r="Q3" s="7" t="s">
        <v>28</v>
      </c>
      <c r="R3" s="7" t="s">
        <v>29</v>
      </c>
      <c r="S3" s="7" t="s">
        <v>30</v>
      </c>
      <c r="T3" s="7" t="s">
        <v>31</v>
      </c>
      <c r="U3" s="7" t="s">
        <v>32</v>
      </c>
      <c r="V3" s="7" t="s">
        <v>33</v>
      </c>
    </row>
    <row r="4" spans="1:26" x14ac:dyDescent="0.25">
      <c r="A4" s="15" cm="1">
        <f t="array" ref="A4:B31">_xll.BDH("GDBR10 Index","PX_LAST","19981231","20251231","Per=cy","Dir=V","Dts=S")</f>
        <v>36160</v>
      </c>
      <c r="B4">
        <v>3.8660000000000001</v>
      </c>
      <c r="D4" s="15" cm="1">
        <f t="array" ref="D4:E31">_xll.BDH("GDBR30 Index","PX_LAST","19981231","20251231","Per=cy","Dir=V","Dts=S")</f>
        <v>36160</v>
      </c>
      <c r="E4">
        <v>4.7759999999999998</v>
      </c>
      <c r="G4" s="15" cm="1">
        <f t="array" ref="G4:H31">_xll.BDH("LECPOAS Index","PX_LAST","19981231","20251231","Per=cy","Dir=V","Dts=S")</f>
        <v>36160</v>
      </c>
      <c r="H4">
        <v>0.34</v>
      </c>
      <c r="J4" s="15" cm="1">
        <f t="array" ref="J4:K31">_xll.BDH("GTFRFII10Y Govt","PX_LAST","19981231","20251231","Per=cy","Dir=V","Dts=S")</f>
        <v>36160</v>
      </c>
      <c r="K4" t="str">
        <v>#N/A N/A</v>
      </c>
      <c r="M4">
        <f t="shared" ref="M4:M33" si="0">IF($A4="","",B4)</f>
        <v>3.8660000000000001</v>
      </c>
      <c r="N4">
        <f t="shared" ref="N4:N33" si="1">IF($A4="","",IFERROR(INDEX(E$4:E$33,MATCH($A4,D$4:D$33,0)),""))</f>
        <v>4.7759999999999998</v>
      </c>
      <c r="O4">
        <f t="shared" ref="O4:O33" si="2">IF($A4="","",IFERROR(INDEX(H$4:H$33,MATCH($A4,G$4:G$33,0)),""))</f>
        <v>0.34</v>
      </c>
      <c r="P4" t="str">
        <f t="shared" ref="P4:P33" si="3">IF($A4="","",IFERROR(INDEX(K$4:K$33,MATCH($A4,J$4:J$33,0)),""))</f>
        <v>#N/A N/A</v>
      </c>
      <c r="X4" s="8" t="s">
        <v>34</v>
      </c>
    </row>
    <row r="5" spans="1:26" x14ac:dyDescent="0.25">
      <c r="A5" s="15">
        <v>36525</v>
      </c>
      <c r="B5">
        <v>5.3579999999999997</v>
      </c>
      <c r="D5" s="15">
        <v>36525</v>
      </c>
      <c r="E5">
        <v>5.9660000000000002</v>
      </c>
      <c r="G5" s="15">
        <v>36525</v>
      </c>
      <c r="H5">
        <v>0.3</v>
      </c>
      <c r="J5" s="15">
        <v>36525</v>
      </c>
      <c r="K5" t="str">
        <v>#N/A N/A</v>
      </c>
      <c r="M5">
        <f t="shared" si="0"/>
        <v>5.3579999999999997</v>
      </c>
      <c r="N5">
        <f t="shared" si="1"/>
        <v>5.9660000000000002</v>
      </c>
      <c r="O5">
        <f t="shared" si="2"/>
        <v>0.3</v>
      </c>
      <c r="P5" t="str">
        <f t="shared" si="3"/>
        <v>#N/A N/A</v>
      </c>
      <c r="Q5">
        <f t="shared" ref="Q5:Q33" si="4">IF(OR(M5="",M4=""),"",(M5-M4)*100)</f>
        <v>149.19999999999996</v>
      </c>
      <c r="R5">
        <f t="shared" ref="R5:R33" si="5">IF(OR(N5="",N4=""),"",(N5-N4)*100)</f>
        <v>119.00000000000004</v>
      </c>
      <c r="S5">
        <f t="shared" ref="S5:S33" si="6">IF(OR(O5="",O4=""),"",(O5-O4)*1)</f>
        <v>-4.0000000000000036E-2</v>
      </c>
      <c r="T5" t="e">
        <f t="shared" ref="T5:T33" si="7">IF(OR(P5="",P4=""),"",(P5-P4)*100)</f>
        <v>#VALUE!</v>
      </c>
      <c r="U5">
        <f t="shared" ref="U5:U33" si="8">IF(Q5="","",IF(YEAR($A5)=2022,"",Q5))</f>
        <v>149.19999999999996</v>
      </c>
      <c r="V5">
        <f t="shared" ref="V5:V33" si="9">IF(R5="","",IF(YEAR($A5)=2022,"",R5))</f>
        <v>119.00000000000004</v>
      </c>
      <c r="X5" s="9" t="s">
        <v>35</v>
      </c>
      <c r="Y5" s="10">
        <f>COUNT(Q5:Q33)</f>
        <v>27</v>
      </c>
    </row>
    <row r="6" spans="1:26" x14ac:dyDescent="0.25">
      <c r="A6" s="15">
        <v>36889</v>
      </c>
      <c r="B6">
        <v>4.851</v>
      </c>
      <c r="D6" s="15">
        <v>36889</v>
      </c>
      <c r="E6">
        <v>5.35</v>
      </c>
      <c r="G6" s="15">
        <v>36889</v>
      </c>
      <c r="H6">
        <v>0.8</v>
      </c>
      <c r="J6" s="15">
        <v>36889</v>
      </c>
      <c r="K6" t="str">
        <v>#N/A N/A</v>
      </c>
      <c r="M6">
        <f t="shared" si="0"/>
        <v>4.851</v>
      </c>
      <c r="N6">
        <f t="shared" si="1"/>
        <v>5.35</v>
      </c>
      <c r="O6">
        <f t="shared" si="2"/>
        <v>0.8</v>
      </c>
      <c r="P6" t="str">
        <f t="shared" si="3"/>
        <v>#N/A N/A</v>
      </c>
      <c r="Q6">
        <f t="shared" si="4"/>
        <v>-50.699999999999967</v>
      </c>
      <c r="R6">
        <f t="shared" si="5"/>
        <v>-61.600000000000051</v>
      </c>
      <c r="S6">
        <f t="shared" si="6"/>
        <v>0.5</v>
      </c>
      <c r="T6" t="e">
        <f t="shared" si="7"/>
        <v>#VALUE!</v>
      </c>
      <c r="U6">
        <f t="shared" si="8"/>
        <v>-50.699999999999967</v>
      </c>
      <c r="V6">
        <f t="shared" si="9"/>
        <v>-61.600000000000051</v>
      </c>
      <c r="X6" s="9" t="s">
        <v>36</v>
      </c>
      <c r="Y6" s="10">
        <f>IF(COUNT(Q5:Q33)&lt;3,"",STDEV(Q5:Q33))</f>
        <v>85.867018533281282</v>
      </c>
      <c r="Z6" s="6" t="s">
        <v>37</v>
      </c>
    </row>
    <row r="7" spans="1:26" x14ac:dyDescent="0.25">
      <c r="A7" s="15">
        <v>37256</v>
      </c>
      <c r="B7">
        <v>4.9980000000000002</v>
      </c>
      <c r="D7" s="15">
        <v>37256</v>
      </c>
      <c r="E7">
        <v>5.3940000000000001</v>
      </c>
      <c r="G7" s="15">
        <v>37256</v>
      </c>
      <c r="H7">
        <v>0.89</v>
      </c>
      <c r="J7" s="15">
        <v>37256</v>
      </c>
      <c r="K7" t="str">
        <v>#N/A N/A</v>
      </c>
      <c r="M7">
        <f t="shared" si="0"/>
        <v>4.9980000000000002</v>
      </c>
      <c r="N7">
        <f t="shared" si="1"/>
        <v>5.3940000000000001</v>
      </c>
      <c r="O7">
        <f t="shared" si="2"/>
        <v>0.89</v>
      </c>
      <c r="P7" t="str">
        <f t="shared" si="3"/>
        <v>#N/A N/A</v>
      </c>
      <c r="Q7">
        <f t="shared" si="4"/>
        <v>14.700000000000024</v>
      </c>
      <c r="R7">
        <f t="shared" si="5"/>
        <v>4.4000000000000483</v>
      </c>
      <c r="S7">
        <f t="shared" si="6"/>
        <v>8.9999999999999969E-2</v>
      </c>
      <c r="T7" t="e">
        <f t="shared" si="7"/>
        <v>#VALUE!</v>
      </c>
      <c r="U7">
        <f t="shared" si="8"/>
        <v>14.700000000000024</v>
      </c>
      <c r="V7">
        <f t="shared" si="9"/>
        <v>4.4000000000000483</v>
      </c>
      <c r="X7" s="9" t="s">
        <v>38</v>
      </c>
      <c r="Y7" s="10">
        <f>IF(COUNT(U5:U33)&lt;3,"",STDEV(U5:U33))</f>
        <v>66.672526114296417</v>
      </c>
    </row>
    <row r="8" spans="1:26" x14ac:dyDescent="0.25">
      <c r="A8" s="15">
        <v>37621</v>
      </c>
      <c r="B8">
        <v>4.2039999999999997</v>
      </c>
      <c r="D8" s="15">
        <v>37621</v>
      </c>
      <c r="E8">
        <v>4.843</v>
      </c>
      <c r="G8" s="15">
        <v>37621</v>
      </c>
      <c r="H8">
        <v>1.05</v>
      </c>
      <c r="J8" s="15">
        <v>37621</v>
      </c>
      <c r="K8" t="str">
        <v>#N/A N/A</v>
      </c>
      <c r="M8">
        <f t="shared" si="0"/>
        <v>4.2039999999999997</v>
      </c>
      <c r="N8">
        <f t="shared" si="1"/>
        <v>4.843</v>
      </c>
      <c r="O8">
        <f t="shared" si="2"/>
        <v>1.05</v>
      </c>
      <c r="P8" t="str">
        <f t="shared" si="3"/>
        <v>#N/A N/A</v>
      </c>
      <c r="Q8">
        <f t="shared" si="4"/>
        <v>-79.400000000000048</v>
      </c>
      <c r="R8">
        <f t="shared" si="5"/>
        <v>-55.100000000000016</v>
      </c>
      <c r="S8">
        <f t="shared" si="6"/>
        <v>0.16000000000000003</v>
      </c>
      <c r="T8" t="e">
        <f t="shared" si="7"/>
        <v>#VALUE!</v>
      </c>
      <c r="U8">
        <f t="shared" si="8"/>
        <v>-79.400000000000048</v>
      </c>
      <c r="V8">
        <f t="shared" si="9"/>
        <v>-55.100000000000016</v>
      </c>
      <c r="X8" s="9" t="s">
        <v>39</v>
      </c>
      <c r="Y8" s="10">
        <f>IF(COUNT(R5:R33)&lt;3,"",STDEV(R5:R33))</f>
        <v>79.715317191063065</v>
      </c>
      <c r="Z8" s="6" t="s">
        <v>40</v>
      </c>
    </row>
    <row r="9" spans="1:26" x14ac:dyDescent="0.25">
      <c r="A9" s="15">
        <v>37986</v>
      </c>
      <c r="B9">
        <v>4.2919999999999998</v>
      </c>
      <c r="D9" s="15">
        <v>37986</v>
      </c>
      <c r="E9">
        <v>4.9400000000000004</v>
      </c>
      <c r="G9" s="15">
        <v>37986</v>
      </c>
      <c r="H9">
        <v>0.52</v>
      </c>
      <c r="J9" s="15">
        <v>37986</v>
      </c>
      <c r="K9" t="str">
        <v>#N/A N/A</v>
      </c>
      <c r="M9">
        <f t="shared" si="0"/>
        <v>4.2919999999999998</v>
      </c>
      <c r="N9">
        <f t="shared" si="1"/>
        <v>4.9400000000000004</v>
      </c>
      <c r="O9">
        <f t="shared" si="2"/>
        <v>0.52</v>
      </c>
      <c r="P9" t="str">
        <f t="shared" si="3"/>
        <v>#N/A N/A</v>
      </c>
      <c r="Q9">
        <f t="shared" si="4"/>
        <v>8.8000000000000078</v>
      </c>
      <c r="R9">
        <f t="shared" si="5"/>
        <v>9.7000000000000419</v>
      </c>
      <c r="S9">
        <f t="shared" si="6"/>
        <v>-0.53</v>
      </c>
      <c r="T9" t="e">
        <f t="shared" si="7"/>
        <v>#VALUE!</v>
      </c>
      <c r="U9">
        <f t="shared" si="8"/>
        <v>8.8000000000000078</v>
      </c>
      <c r="V9">
        <f t="shared" si="9"/>
        <v>9.7000000000000419</v>
      </c>
      <c r="X9" s="9" t="s">
        <v>41</v>
      </c>
      <c r="Y9" s="10">
        <f>IF(COUNT(V5:V33)&lt;3,"",STDEV(V5:V33))</f>
        <v>64.99111667107934</v>
      </c>
    </row>
    <row r="10" spans="1:26" x14ac:dyDescent="0.25">
      <c r="A10" s="15">
        <v>38352</v>
      </c>
      <c r="B10">
        <v>3.6829999999999998</v>
      </c>
      <c r="D10" s="15">
        <v>38352</v>
      </c>
      <c r="E10">
        <v>4.2830000000000004</v>
      </c>
      <c r="G10" s="15">
        <v>38352</v>
      </c>
      <c r="H10">
        <v>0.46</v>
      </c>
      <c r="J10" s="15">
        <v>38352</v>
      </c>
      <c r="K10" t="str">
        <v>#N/A N/A</v>
      </c>
      <c r="M10">
        <f t="shared" si="0"/>
        <v>3.6829999999999998</v>
      </c>
      <c r="N10">
        <f t="shared" si="1"/>
        <v>4.2830000000000004</v>
      </c>
      <c r="O10">
        <f t="shared" si="2"/>
        <v>0.46</v>
      </c>
      <c r="P10" t="str">
        <f t="shared" si="3"/>
        <v>#N/A N/A</v>
      </c>
      <c r="Q10">
        <f t="shared" si="4"/>
        <v>-60.9</v>
      </c>
      <c r="R10">
        <f t="shared" si="5"/>
        <v>-65.7</v>
      </c>
      <c r="S10">
        <f t="shared" si="6"/>
        <v>-0.06</v>
      </c>
      <c r="T10" t="e">
        <f t="shared" si="7"/>
        <v>#VALUE!</v>
      </c>
      <c r="U10">
        <f t="shared" si="8"/>
        <v>-60.9</v>
      </c>
      <c r="V10">
        <f t="shared" si="9"/>
        <v>-65.7</v>
      </c>
      <c r="X10" s="9" t="s">
        <v>42</v>
      </c>
      <c r="Y10" s="10">
        <f>IF(COUNT(S5:S33)&lt;3,"",STDEV(S5:S33))</f>
        <v>1.0376087455452123</v>
      </c>
      <c r="Z10" s="6" t="s">
        <v>43</v>
      </c>
    </row>
    <row r="11" spans="1:26" x14ac:dyDescent="0.25">
      <c r="A11" s="15">
        <v>38716</v>
      </c>
      <c r="B11">
        <v>3.3090000000000002</v>
      </c>
      <c r="D11" s="15">
        <v>38716</v>
      </c>
      <c r="E11">
        <v>3.5710000000000002</v>
      </c>
      <c r="G11" s="15">
        <v>38716</v>
      </c>
      <c r="H11">
        <v>0.46</v>
      </c>
      <c r="J11" s="15">
        <v>38716</v>
      </c>
      <c r="K11" t="str">
        <v>#N/A N/A</v>
      </c>
      <c r="M11">
        <f t="shared" si="0"/>
        <v>3.3090000000000002</v>
      </c>
      <c r="N11">
        <f t="shared" si="1"/>
        <v>3.5710000000000002</v>
      </c>
      <c r="O11">
        <f t="shared" si="2"/>
        <v>0.46</v>
      </c>
      <c r="P11" t="str">
        <f t="shared" si="3"/>
        <v>#N/A N/A</v>
      </c>
      <c r="Q11">
        <f t="shared" si="4"/>
        <v>-37.399999999999963</v>
      </c>
      <c r="R11">
        <f t="shared" si="5"/>
        <v>-71.200000000000017</v>
      </c>
      <c r="S11">
        <f t="shared" si="6"/>
        <v>0</v>
      </c>
      <c r="T11" t="e">
        <f t="shared" si="7"/>
        <v>#VALUE!</v>
      </c>
      <c r="U11">
        <f t="shared" si="8"/>
        <v>-37.399999999999963</v>
      </c>
      <c r="V11">
        <f t="shared" si="9"/>
        <v>-71.200000000000017</v>
      </c>
      <c r="X11" s="9" t="s">
        <v>44</v>
      </c>
      <c r="Y11" s="10" t="e">
        <f>IF(COUNT(T5:T33)&lt;3,"",STDEV(T5:T33))</f>
        <v>#VALUE!</v>
      </c>
      <c r="Z11" s="6" t="s">
        <v>45</v>
      </c>
    </row>
    <row r="12" spans="1:26" x14ac:dyDescent="0.25">
      <c r="A12" s="15">
        <v>39080</v>
      </c>
      <c r="B12">
        <v>3.948</v>
      </c>
      <c r="D12" s="15">
        <v>39080</v>
      </c>
      <c r="E12">
        <v>4.0519999999999996</v>
      </c>
      <c r="G12" s="15">
        <v>39080</v>
      </c>
      <c r="H12">
        <v>0.52</v>
      </c>
      <c r="J12" s="15">
        <v>39080</v>
      </c>
      <c r="K12">
        <v>1.9</v>
      </c>
      <c r="M12">
        <f t="shared" si="0"/>
        <v>3.948</v>
      </c>
      <c r="N12">
        <f t="shared" si="1"/>
        <v>4.0519999999999996</v>
      </c>
      <c r="O12">
        <f t="shared" si="2"/>
        <v>0.52</v>
      </c>
      <c r="P12">
        <f t="shared" si="3"/>
        <v>1.9</v>
      </c>
      <c r="Q12">
        <f t="shared" si="4"/>
        <v>63.899999999999977</v>
      </c>
      <c r="R12">
        <f t="shared" si="5"/>
        <v>48.099999999999945</v>
      </c>
      <c r="S12">
        <f t="shared" si="6"/>
        <v>0.06</v>
      </c>
      <c r="T12" t="e">
        <f t="shared" si="7"/>
        <v>#VALUE!</v>
      </c>
      <c r="U12">
        <f t="shared" si="8"/>
        <v>63.899999999999977</v>
      </c>
      <c r="V12">
        <f t="shared" si="9"/>
        <v>48.099999999999945</v>
      </c>
      <c r="X12" s="9" t="s">
        <v>46</v>
      </c>
      <c r="Y12" s="11">
        <v>73</v>
      </c>
      <c r="Z12" s="6" t="s">
        <v>47</v>
      </c>
    </row>
    <row r="13" spans="1:26" x14ac:dyDescent="0.25">
      <c r="A13" s="15">
        <v>39447</v>
      </c>
      <c r="B13">
        <v>4.3070000000000004</v>
      </c>
      <c r="D13" s="15">
        <v>39447</v>
      </c>
      <c r="E13">
        <v>4.601</v>
      </c>
      <c r="G13" s="15">
        <v>39447</v>
      </c>
      <c r="H13">
        <v>1.17</v>
      </c>
      <c r="J13" s="15">
        <v>39447</v>
      </c>
      <c r="K13">
        <v>2.165</v>
      </c>
      <c r="M13">
        <f t="shared" si="0"/>
        <v>4.3070000000000004</v>
      </c>
      <c r="N13">
        <f t="shared" si="1"/>
        <v>4.601</v>
      </c>
      <c r="O13">
        <f t="shared" si="2"/>
        <v>1.17</v>
      </c>
      <c r="P13">
        <f t="shared" si="3"/>
        <v>2.165</v>
      </c>
      <c r="Q13">
        <f t="shared" si="4"/>
        <v>35.900000000000041</v>
      </c>
      <c r="R13">
        <f t="shared" si="5"/>
        <v>54.900000000000034</v>
      </c>
      <c r="S13">
        <f t="shared" si="6"/>
        <v>0.64999999999999991</v>
      </c>
      <c r="T13">
        <f t="shared" si="7"/>
        <v>26.500000000000014</v>
      </c>
      <c r="U13">
        <f t="shared" si="8"/>
        <v>35.900000000000041</v>
      </c>
      <c r="V13">
        <f t="shared" si="9"/>
        <v>54.900000000000034</v>
      </c>
      <c r="X13" s="9" t="s">
        <v>48</v>
      </c>
      <c r="Y13" s="10" t="str">
        <f>IF(Y8="","awaiting data",IF(AND(Y8&gt;=60,Y8&lt;=80),"PASS — calibration sourced","REVISIT — outside 60–80bp"))</f>
        <v>PASS — calibration sourced</v>
      </c>
    </row>
    <row r="14" spans="1:26" x14ac:dyDescent="0.25">
      <c r="A14" s="15">
        <v>39813</v>
      </c>
      <c r="B14">
        <v>2.9510000000000001</v>
      </c>
      <c r="D14" s="15">
        <v>39813</v>
      </c>
      <c r="E14">
        <v>3.5350000000000001</v>
      </c>
      <c r="G14" s="15">
        <v>39813</v>
      </c>
      <c r="H14">
        <v>4.6100000000000003</v>
      </c>
      <c r="J14" s="15">
        <v>39813</v>
      </c>
      <c r="K14">
        <v>2.0329999999999999</v>
      </c>
      <c r="M14">
        <f t="shared" si="0"/>
        <v>2.9510000000000001</v>
      </c>
      <c r="N14">
        <f t="shared" si="1"/>
        <v>3.5350000000000001</v>
      </c>
      <c r="O14">
        <f t="shared" si="2"/>
        <v>4.6100000000000003</v>
      </c>
      <c r="P14">
        <f t="shared" si="3"/>
        <v>2.0329999999999999</v>
      </c>
      <c r="Q14">
        <f t="shared" si="4"/>
        <v>-135.60000000000002</v>
      </c>
      <c r="R14">
        <f t="shared" si="5"/>
        <v>-106.59999999999998</v>
      </c>
      <c r="S14">
        <f t="shared" si="6"/>
        <v>3.4400000000000004</v>
      </c>
      <c r="T14">
        <f t="shared" si="7"/>
        <v>-13.200000000000012</v>
      </c>
      <c r="U14">
        <f t="shared" si="8"/>
        <v>-135.60000000000002</v>
      </c>
      <c r="V14">
        <f t="shared" si="9"/>
        <v>-106.59999999999998</v>
      </c>
    </row>
    <row r="15" spans="1:26" x14ac:dyDescent="0.25">
      <c r="A15" s="15">
        <v>40178</v>
      </c>
      <c r="B15">
        <v>3.387</v>
      </c>
      <c r="D15" s="15">
        <v>40178</v>
      </c>
      <c r="E15">
        <v>4.1120000000000001</v>
      </c>
      <c r="G15" s="15">
        <v>40178</v>
      </c>
      <c r="H15">
        <v>1.75</v>
      </c>
      <c r="J15" s="15">
        <v>40178</v>
      </c>
      <c r="K15" t="str">
        <v>#N/A N/A</v>
      </c>
      <c r="M15">
        <f t="shared" si="0"/>
        <v>3.387</v>
      </c>
      <c r="N15">
        <f t="shared" si="1"/>
        <v>4.1120000000000001</v>
      </c>
      <c r="O15">
        <f t="shared" si="2"/>
        <v>1.75</v>
      </c>
      <c r="P15" t="str">
        <f t="shared" si="3"/>
        <v>#N/A N/A</v>
      </c>
      <c r="Q15">
        <f t="shared" si="4"/>
        <v>43.599999999999994</v>
      </c>
      <c r="R15">
        <f t="shared" si="5"/>
        <v>57.699999999999996</v>
      </c>
      <c r="S15">
        <f t="shared" si="6"/>
        <v>-2.8600000000000003</v>
      </c>
      <c r="T15" t="e">
        <f t="shared" si="7"/>
        <v>#VALUE!</v>
      </c>
      <c r="U15">
        <f t="shared" si="8"/>
        <v>43.599999999999994</v>
      </c>
      <c r="V15">
        <f t="shared" si="9"/>
        <v>57.699999999999996</v>
      </c>
    </row>
    <row r="16" spans="1:26" x14ac:dyDescent="0.25">
      <c r="A16" s="15">
        <v>40543</v>
      </c>
      <c r="B16">
        <v>2.9630000000000001</v>
      </c>
      <c r="D16" s="15">
        <v>40543</v>
      </c>
      <c r="E16">
        <v>3.415</v>
      </c>
      <c r="G16" s="15">
        <v>40543</v>
      </c>
      <c r="H16">
        <v>2.12</v>
      </c>
      <c r="J16" s="15">
        <v>40543</v>
      </c>
      <c r="K16">
        <v>1.032</v>
      </c>
      <c r="M16">
        <f t="shared" si="0"/>
        <v>2.9630000000000001</v>
      </c>
      <c r="N16">
        <f t="shared" si="1"/>
        <v>3.415</v>
      </c>
      <c r="O16">
        <f t="shared" si="2"/>
        <v>2.12</v>
      </c>
      <c r="P16">
        <f t="shared" si="3"/>
        <v>1.032</v>
      </c>
      <c r="Q16">
        <f t="shared" si="4"/>
        <v>-42.399999999999991</v>
      </c>
      <c r="R16">
        <f t="shared" si="5"/>
        <v>-69.7</v>
      </c>
      <c r="S16">
        <f t="shared" si="6"/>
        <v>0.37000000000000011</v>
      </c>
      <c r="T16" t="e">
        <f t="shared" si="7"/>
        <v>#VALUE!</v>
      </c>
      <c r="U16">
        <f t="shared" si="8"/>
        <v>-42.399999999999991</v>
      </c>
      <c r="V16">
        <f t="shared" si="9"/>
        <v>-69.7</v>
      </c>
    </row>
    <row r="17" spans="1:22" x14ac:dyDescent="0.25">
      <c r="A17" s="15">
        <v>40907</v>
      </c>
      <c r="B17">
        <v>1.829</v>
      </c>
      <c r="D17" s="15">
        <v>40907</v>
      </c>
      <c r="E17">
        <v>2.3690000000000002</v>
      </c>
      <c r="G17" s="15">
        <v>40907</v>
      </c>
      <c r="H17">
        <v>3.32</v>
      </c>
      <c r="J17" s="15">
        <v>40907</v>
      </c>
      <c r="K17">
        <v>1.07</v>
      </c>
      <c r="M17">
        <f t="shared" si="0"/>
        <v>1.829</v>
      </c>
      <c r="N17">
        <f t="shared" si="1"/>
        <v>2.3690000000000002</v>
      </c>
      <c r="O17">
        <f t="shared" si="2"/>
        <v>3.32</v>
      </c>
      <c r="P17">
        <f t="shared" si="3"/>
        <v>1.07</v>
      </c>
      <c r="Q17">
        <f t="shared" si="4"/>
        <v>-113.4</v>
      </c>
      <c r="R17">
        <f t="shared" si="5"/>
        <v>-104.59999999999998</v>
      </c>
      <c r="S17">
        <f t="shared" si="6"/>
        <v>1.1999999999999997</v>
      </c>
      <c r="T17">
        <f t="shared" si="7"/>
        <v>3.8000000000000034</v>
      </c>
      <c r="U17">
        <f t="shared" si="8"/>
        <v>-113.4</v>
      </c>
      <c r="V17">
        <f t="shared" si="9"/>
        <v>-104.59999999999998</v>
      </c>
    </row>
    <row r="18" spans="1:22" x14ac:dyDescent="0.25">
      <c r="A18" s="15">
        <v>41274</v>
      </c>
      <c r="B18">
        <v>1.3160000000000001</v>
      </c>
      <c r="D18" s="15">
        <v>41274</v>
      </c>
      <c r="E18">
        <v>2.177</v>
      </c>
      <c r="G18" s="15">
        <v>41274</v>
      </c>
      <c r="H18">
        <v>1.51</v>
      </c>
      <c r="J18" s="15">
        <v>41274</v>
      </c>
      <c r="K18">
        <v>7.6999999999999999E-2</v>
      </c>
      <c r="M18">
        <f t="shared" si="0"/>
        <v>1.3160000000000001</v>
      </c>
      <c r="N18">
        <f t="shared" si="1"/>
        <v>2.177</v>
      </c>
      <c r="O18">
        <f t="shared" si="2"/>
        <v>1.51</v>
      </c>
      <c r="P18">
        <f t="shared" si="3"/>
        <v>7.6999999999999999E-2</v>
      </c>
      <c r="Q18">
        <f t="shared" si="4"/>
        <v>-51.29999999999999</v>
      </c>
      <c r="R18">
        <f t="shared" si="5"/>
        <v>-19.200000000000017</v>
      </c>
      <c r="S18">
        <f t="shared" si="6"/>
        <v>-1.8099999999999998</v>
      </c>
      <c r="T18">
        <f t="shared" si="7"/>
        <v>-99.300000000000011</v>
      </c>
      <c r="U18">
        <f t="shared" si="8"/>
        <v>-51.29999999999999</v>
      </c>
      <c r="V18">
        <f t="shared" si="9"/>
        <v>-19.200000000000017</v>
      </c>
    </row>
    <row r="19" spans="1:22" x14ac:dyDescent="0.25">
      <c r="A19" s="15">
        <v>41639</v>
      </c>
      <c r="B19">
        <v>1.929</v>
      </c>
      <c r="D19" s="15">
        <v>41639</v>
      </c>
      <c r="E19">
        <v>2.76</v>
      </c>
      <c r="G19" s="15">
        <v>41639</v>
      </c>
      <c r="H19">
        <v>1.1499999999999999</v>
      </c>
      <c r="J19" s="15">
        <v>41639</v>
      </c>
      <c r="K19">
        <v>0.64700000000000002</v>
      </c>
      <c r="M19">
        <f t="shared" si="0"/>
        <v>1.929</v>
      </c>
      <c r="N19">
        <f t="shared" si="1"/>
        <v>2.76</v>
      </c>
      <c r="O19">
        <f t="shared" si="2"/>
        <v>1.1499999999999999</v>
      </c>
      <c r="P19">
        <f t="shared" si="3"/>
        <v>0.64700000000000002</v>
      </c>
      <c r="Q19">
        <f t="shared" si="4"/>
        <v>61.3</v>
      </c>
      <c r="R19">
        <f t="shared" si="5"/>
        <v>58.299999999999976</v>
      </c>
      <c r="S19">
        <f t="shared" si="6"/>
        <v>-0.3600000000000001</v>
      </c>
      <c r="T19">
        <f t="shared" si="7"/>
        <v>57.000000000000007</v>
      </c>
      <c r="U19">
        <f t="shared" si="8"/>
        <v>61.3</v>
      </c>
      <c r="V19">
        <f t="shared" si="9"/>
        <v>58.299999999999976</v>
      </c>
    </row>
    <row r="20" spans="1:22" x14ac:dyDescent="0.25">
      <c r="A20" s="15">
        <v>42004</v>
      </c>
      <c r="B20">
        <v>0.54100000000000004</v>
      </c>
      <c r="D20" s="15">
        <v>42004</v>
      </c>
      <c r="E20">
        <v>1.389</v>
      </c>
      <c r="G20" s="15">
        <v>42004</v>
      </c>
      <c r="H20">
        <v>0.88</v>
      </c>
      <c r="J20" s="15">
        <v>42004</v>
      </c>
      <c r="K20">
        <v>-0.32600000000000001</v>
      </c>
      <c r="M20">
        <f t="shared" si="0"/>
        <v>0.54100000000000004</v>
      </c>
      <c r="N20">
        <f t="shared" si="1"/>
        <v>1.389</v>
      </c>
      <c r="O20">
        <f t="shared" si="2"/>
        <v>0.88</v>
      </c>
      <c r="P20">
        <f t="shared" si="3"/>
        <v>-0.32600000000000001</v>
      </c>
      <c r="Q20">
        <f t="shared" si="4"/>
        <v>-138.79999999999998</v>
      </c>
      <c r="R20">
        <f t="shared" si="5"/>
        <v>-137.09999999999997</v>
      </c>
      <c r="S20">
        <f t="shared" si="6"/>
        <v>-0.26999999999999991</v>
      </c>
      <c r="T20">
        <f t="shared" si="7"/>
        <v>-97.300000000000011</v>
      </c>
      <c r="U20">
        <f t="shared" si="8"/>
        <v>-138.79999999999998</v>
      </c>
      <c r="V20">
        <f t="shared" si="9"/>
        <v>-137.09999999999997</v>
      </c>
    </row>
    <row r="21" spans="1:22" x14ac:dyDescent="0.25">
      <c r="A21" s="15">
        <v>42369</v>
      </c>
      <c r="B21">
        <v>0.629</v>
      </c>
      <c r="D21" s="15">
        <v>42369</v>
      </c>
      <c r="E21">
        <v>1.4870000000000001</v>
      </c>
      <c r="G21" s="15">
        <v>42369</v>
      </c>
      <c r="H21">
        <v>1.34</v>
      </c>
      <c r="J21" s="15">
        <v>42369</v>
      </c>
      <c r="K21">
        <v>-0.17899999999999999</v>
      </c>
      <c r="M21">
        <f t="shared" si="0"/>
        <v>0.629</v>
      </c>
      <c r="N21">
        <f t="shared" si="1"/>
        <v>1.4870000000000001</v>
      </c>
      <c r="O21">
        <f t="shared" si="2"/>
        <v>1.34</v>
      </c>
      <c r="P21">
        <f t="shared" si="3"/>
        <v>-0.17899999999999999</v>
      </c>
      <c r="Q21">
        <f t="shared" si="4"/>
        <v>8.7999999999999972</v>
      </c>
      <c r="R21">
        <f t="shared" si="5"/>
        <v>9.8000000000000078</v>
      </c>
      <c r="S21">
        <f t="shared" si="6"/>
        <v>0.46000000000000008</v>
      </c>
      <c r="T21">
        <f t="shared" si="7"/>
        <v>14.700000000000003</v>
      </c>
      <c r="U21">
        <f t="shared" si="8"/>
        <v>8.7999999999999972</v>
      </c>
      <c r="V21">
        <f t="shared" si="9"/>
        <v>9.8000000000000078</v>
      </c>
    </row>
    <row r="22" spans="1:22" x14ac:dyDescent="0.25">
      <c r="A22" s="15">
        <v>42734</v>
      </c>
      <c r="B22">
        <v>0.20799999999999999</v>
      </c>
      <c r="D22" s="15">
        <v>42734</v>
      </c>
      <c r="E22">
        <v>0.94299999999999995</v>
      </c>
      <c r="G22" s="15">
        <v>42734</v>
      </c>
      <c r="H22">
        <v>1.23</v>
      </c>
      <c r="J22" s="15">
        <v>42734</v>
      </c>
      <c r="K22">
        <v>-1.111</v>
      </c>
      <c r="M22">
        <f t="shared" si="0"/>
        <v>0.20799999999999999</v>
      </c>
      <c r="N22">
        <f t="shared" si="1"/>
        <v>0.94299999999999995</v>
      </c>
      <c r="O22">
        <f t="shared" si="2"/>
        <v>1.23</v>
      </c>
      <c r="P22">
        <f t="shared" si="3"/>
        <v>-1.111</v>
      </c>
      <c r="Q22">
        <f t="shared" si="4"/>
        <v>-42.1</v>
      </c>
      <c r="R22">
        <f t="shared" si="5"/>
        <v>-54.400000000000013</v>
      </c>
      <c r="S22">
        <f t="shared" si="6"/>
        <v>-0.1100000000000001</v>
      </c>
      <c r="T22">
        <f t="shared" si="7"/>
        <v>-93.199999999999989</v>
      </c>
      <c r="U22">
        <f t="shared" si="8"/>
        <v>-42.1</v>
      </c>
      <c r="V22">
        <f t="shared" si="9"/>
        <v>-54.400000000000013</v>
      </c>
    </row>
    <row r="23" spans="1:22" x14ac:dyDescent="0.25">
      <c r="A23" s="15">
        <v>43098</v>
      </c>
      <c r="B23">
        <v>0.42699999999999999</v>
      </c>
      <c r="D23" s="15">
        <v>43098</v>
      </c>
      <c r="E23">
        <v>1.2629999999999999</v>
      </c>
      <c r="G23" s="15">
        <v>43098</v>
      </c>
      <c r="H23">
        <v>0.86</v>
      </c>
      <c r="J23" s="15">
        <v>43098</v>
      </c>
      <c r="K23">
        <v>-0.65</v>
      </c>
      <c r="M23">
        <f t="shared" si="0"/>
        <v>0.42699999999999999</v>
      </c>
      <c r="N23">
        <f t="shared" si="1"/>
        <v>1.2629999999999999</v>
      </c>
      <c r="O23">
        <f t="shared" si="2"/>
        <v>0.86</v>
      </c>
      <c r="P23">
        <f t="shared" si="3"/>
        <v>-0.65</v>
      </c>
      <c r="Q23">
        <f t="shared" si="4"/>
        <v>21.9</v>
      </c>
      <c r="R23">
        <f t="shared" si="5"/>
        <v>31.999999999999996</v>
      </c>
      <c r="S23">
        <f t="shared" si="6"/>
        <v>-0.37</v>
      </c>
      <c r="T23">
        <f t="shared" si="7"/>
        <v>46.099999999999994</v>
      </c>
      <c r="U23">
        <f t="shared" si="8"/>
        <v>21.9</v>
      </c>
      <c r="V23">
        <f t="shared" si="9"/>
        <v>31.999999999999996</v>
      </c>
    </row>
    <row r="24" spans="1:22" x14ac:dyDescent="0.25">
      <c r="A24" s="15">
        <v>43465</v>
      </c>
      <c r="B24">
        <v>0.24199999999999999</v>
      </c>
      <c r="D24" s="15">
        <v>43465</v>
      </c>
      <c r="E24">
        <v>0.875</v>
      </c>
      <c r="G24" s="15">
        <v>43465</v>
      </c>
      <c r="H24">
        <v>1.52</v>
      </c>
      <c r="J24" s="15">
        <v>43465</v>
      </c>
      <c r="K24">
        <v>-0.34899999999999998</v>
      </c>
      <c r="M24">
        <f t="shared" si="0"/>
        <v>0.24199999999999999</v>
      </c>
      <c r="N24">
        <f t="shared" si="1"/>
        <v>0.875</v>
      </c>
      <c r="O24">
        <f t="shared" si="2"/>
        <v>1.52</v>
      </c>
      <c r="P24">
        <f t="shared" si="3"/>
        <v>-0.34899999999999998</v>
      </c>
      <c r="Q24">
        <f t="shared" si="4"/>
        <v>-18.5</v>
      </c>
      <c r="R24">
        <f t="shared" si="5"/>
        <v>-38.79999999999999</v>
      </c>
      <c r="S24">
        <f t="shared" si="6"/>
        <v>0.66</v>
      </c>
      <c r="T24">
        <f t="shared" si="7"/>
        <v>30.100000000000005</v>
      </c>
      <c r="U24">
        <f t="shared" si="8"/>
        <v>-18.5</v>
      </c>
      <c r="V24">
        <f t="shared" si="9"/>
        <v>-38.79999999999999</v>
      </c>
    </row>
    <row r="25" spans="1:22" x14ac:dyDescent="0.25">
      <c r="A25" s="15">
        <v>43830</v>
      </c>
      <c r="B25">
        <v>-0.185</v>
      </c>
      <c r="D25" s="15">
        <v>43830</v>
      </c>
      <c r="E25">
        <v>0.34899999999999998</v>
      </c>
      <c r="G25" s="15">
        <v>43830</v>
      </c>
      <c r="H25">
        <v>0.93</v>
      </c>
      <c r="J25" s="15">
        <v>43830</v>
      </c>
      <c r="K25">
        <v>-0.77200000000000002</v>
      </c>
      <c r="M25">
        <f t="shared" si="0"/>
        <v>-0.185</v>
      </c>
      <c r="N25">
        <f t="shared" si="1"/>
        <v>0.34899999999999998</v>
      </c>
      <c r="O25">
        <f t="shared" si="2"/>
        <v>0.93</v>
      </c>
      <c r="P25">
        <f t="shared" si="3"/>
        <v>-0.77200000000000002</v>
      </c>
      <c r="Q25">
        <f t="shared" si="4"/>
        <v>-42.699999999999996</v>
      </c>
      <c r="R25">
        <f t="shared" si="5"/>
        <v>-52.6</v>
      </c>
      <c r="S25">
        <f t="shared" si="6"/>
        <v>-0.59</v>
      </c>
      <c r="T25">
        <f t="shared" si="7"/>
        <v>-42.300000000000004</v>
      </c>
      <c r="U25">
        <f t="shared" si="8"/>
        <v>-42.699999999999996</v>
      </c>
      <c r="V25">
        <f t="shared" si="9"/>
        <v>-52.6</v>
      </c>
    </row>
    <row r="26" spans="1:22" x14ac:dyDescent="0.25">
      <c r="A26" s="15">
        <v>44196</v>
      </c>
      <c r="B26">
        <v>-0.56899999999999995</v>
      </c>
      <c r="D26" s="15">
        <v>44196</v>
      </c>
      <c r="E26">
        <v>-0.158</v>
      </c>
      <c r="G26" s="15">
        <v>44196</v>
      </c>
      <c r="H26">
        <v>0.92</v>
      </c>
      <c r="J26" s="15">
        <v>44196</v>
      </c>
      <c r="K26" t="str">
        <v>#N/A N/A</v>
      </c>
      <c r="M26">
        <f t="shared" si="0"/>
        <v>-0.56899999999999995</v>
      </c>
      <c r="N26">
        <f t="shared" si="1"/>
        <v>-0.158</v>
      </c>
      <c r="O26">
        <f t="shared" si="2"/>
        <v>0.92</v>
      </c>
      <c r="P26" t="str">
        <f t="shared" si="3"/>
        <v>#N/A N/A</v>
      </c>
      <c r="Q26">
        <f t="shared" si="4"/>
        <v>-38.4</v>
      </c>
      <c r="R26">
        <f t="shared" si="5"/>
        <v>-50.7</v>
      </c>
      <c r="S26">
        <f t="shared" si="6"/>
        <v>-1.0000000000000009E-2</v>
      </c>
      <c r="T26" t="e">
        <f t="shared" si="7"/>
        <v>#VALUE!</v>
      </c>
      <c r="U26">
        <f t="shared" si="8"/>
        <v>-38.4</v>
      </c>
      <c r="V26">
        <f t="shared" si="9"/>
        <v>-50.7</v>
      </c>
    </row>
    <row r="27" spans="1:22" x14ac:dyDescent="0.25">
      <c r="A27" s="15">
        <v>44561</v>
      </c>
      <c r="B27">
        <v>-0.17699999999999999</v>
      </c>
      <c r="D27" s="15">
        <v>44561</v>
      </c>
      <c r="E27">
        <v>0.19700000000000001</v>
      </c>
      <c r="G27" s="15">
        <v>44561</v>
      </c>
      <c r="H27">
        <v>0.95</v>
      </c>
      <c r="J27" s="15">
        <v>44561</v>
      </c>
      <c r="K27">
        <v>-1.486</v>
      </c>
      <c r="M27">
        <f t="shared" si="0"/>
        <v>-0.17699999999999999</v>
      </c>
      <c r="N27">
        <f t="shared" si="1"/>
        <v>0.19700000000000001</v>
      </c>
      <c r="O27">
        <f t="shared" si="2"/>
        <v>0.95</v>
      </c>
      <c r="P27">
        <f t="shared" si="3"/>
        <v>-1.486</v>
      </c>
      <c r="Q27">
        <f t="shared" si="4"/>
        <v>39.199999999999996</v>
      </c>
      <c r="R27">
        <f t="shared" si="5"/>
        <v>35.5</v>
      </c>
      <c r="S27">
        <f t="shared" si="6"/>
        <v>2.9999999999999916E-2</v>
      </c>
      <c r="T27" t="e">
        <f t="shared" si="7"/>
        <v>#VALUE!</v>
      </c>
      <c r="U27">
        <f t="shared" si="8"/>
        <v>39.199999999999996</v>
      </c>
      <c r="V27">
        <f t="shared" si="9"/>
        <v>35.5</v>
      </c>
    </row>
    <row r="28" spans="1:22" x14ac:dyDescent="0.25">
      <c r="A28" s="15">
        <v>44925</v>
      </c>
      <c r="B28">
        <v>2.5710000000000002</v>
      </c>
      <c r="D28" s="15">
        <v>44925</v>
      </c>
      <c r="E28">
        <v>2.5449999999999999</v>
      </c>
      <c r="G28" s="15">
        <v>44925</v>
      </c>
      <c r="H28">
        <v>1.67</v>
      </c>
      <c r="J28" s="15">
        <v>44925</v>
      </c>
      <c r="K28">
        <v>0.26200000000000001</v>
      </c>
      <c r="M28">
        <f t="shared" si="0"/>
        <v>2.5710000000000002</v>
      </c>
      <c r="N28">
        <f t="shared" si="1"/>
        <v>2.5449999999999999</v>
      </c>
      <c r="O28">
        <f t="shared" si="2"/>
        <v>1.67</v>
      </c>
      <c r="P28">
        <f t="shared" si="3"/>
        <v>0.26200000000000001</v>
      </c>
      <c r="Q28">
        <f t="shared" si="4"/>
        <v>274.8</v>
      </c>
      <c r="R28">
        <f t="shared" si="5"/>
        <v>234.79999999999998</v>
      </c>
      <c r="S28">
        <f t="shared" si="6"/>
        <v>0.72</v>
      </c>
      <c r="T28">
        <f t="shared" si="7"/>
        <v>174.8</v>
      </c>
      <c r="U28" t="str">
        <f t="shared" si="8"/>
        <v/>
      </c>
      <c r="V28" t="str">
        <f t="shared" si="9"/>
        <v/>
      </c>
    </row>
    <row r="29" spans="1:22" x14ac:dyDescent="0.25">
      <c r="A29" s="15">
        <v>45289</v>
      </c>
      <c r="B29">
        <v>2.024</v>
      </c>
      <c r="D29" s="15">
        <v>45289</v>
      </c>
      <c r="E29">
        <v>2.2629999999999999</v>
      </c>
      <c r="G29" s="15">
        <v>45289</v>
      </c>
      <c r="H29">
        <v>1.38</v>
      </c>
      <c r="J29" s="15">
        <v>45289</v>
      </c>
      <c r="K29">
        <v>0.36</v>
      </c>
      <c r="M29">
        <f t="shared" si="0"/>
        <v>2.024</v>
      </c>
      <c r="N29">
        <f t="shared" si="1"/>
        <v>2.2629999999999999</v>
      </c>
      <c r="O29">
        <f t="shared" si="2"/>
        <v>1.38</v>
      </c>
      <c r="P29">
        <f t="shared" si="3"/>
        <v>0.36</v>
      </c>
      <c r="Q29">
        <f t="shared" si="4"/>
        <v>-54.700000000000017</v>
      </c>
      <c r="R29">
        <f t="shared" si="5"/>
        <v>-28.200000000000003</v>
      </c>
      <c r="S29">
        <f t="shared" si="6"/>
        <v>-0.29000000000000004</v>
      </c>
      <c r="T29">
        <f t="shared" si="7"/>
        <v>9.7999999999999972</v>
      </c>
      <c r="U29">
        <f t="shared" si="8"/>
        <v>-54.700000000000017</v>
      </c>
      <c r="V29">
        <f t="shared" si="9"/>
        <v>-28.200000000000003</v>
      </c>
    </row>
    <row r="30" spans="1:22" x14ac:dyDescent="0.25">
      <c r="A30" s="15">
        <v>45657</v>
      </c>
      <c r="B30">
        <v>2.367</v>
      </c>
      <c r="D30" s="15">
        <v>45657</v>
      </c>
      <c r="E30">
        <v>2.597</v>
      </c>
      <c r="G30" s="15">
        <v>45657</v>
      </c>
      <c r="H30">
        <v>1.02</v>
      </c>
      <c r="J30" s="15">
        <v>45657</v>
      </c>
      <c r="K30">
        <v>1.3089999999999999</v>
      </c>
      <c r="M30">
        <f t="shared" si="0"/>
        <v>2.367</v>
      </c>
      <c r="N30">
        <f t="shared" si="1"/>
        <v>2.597</v>
      </c>
      <c r="O30">
        <f t="shared" si="2"/>
        <v>1.02</v>
      </c>
      <c r="P30">
        <f t="shared" si="3"/>
        <v>1.3089999999999999</v>
      </c>
      <c r="Q30">
        <f t="shared" si="4"/>
        <v>34.299999999999997</v>
      </c>
      <c r="R30">
        <f t="shared" si="5"/>
        <v>33.400000000000006</v>
      </c>
      <c r="S30">
        <f t="shared" si="6"/>
        <v>-0.35999999999999988</v>
      </c>
      <c r="T30">
        <f t="shared" si="7"/>
        <v>94.899999999999991</v>
      </c>
      <c r="U30">
        <f t="shared" si="8"/>
        <v>34.299999999999997</v>
      </c>
      <c r="V30">
        <f t="shared" si="9"/>
        <v>33.400000000000006</v>
      </c>
    </row>
    <row r="31" spans="1:22" x14ac:dyDescent="0.25">
      <c r="A31" s="15">
        <v>46022</v>
      </c>
      <c r="B31">
        <v>2.855</v>
      </c>
      <c r="D31" s="15">
        <v>46022</v>
      </c>
      <c r="E31">
        <v>3.4769999999999999</v>
      </c>
      <c r="G31" s="15">
        <v>46022</v>
      </c>
      <c r="H31">
        <v>0.78</v>
      </c>
      <c r="J31" s="15">
        <v>46022</v>
      </c>
      <c r="K31">
        <v>1.893</v>
      </c>
      <c r="M31">
        <f t="shared" si="0"/>
        <v>2.855</v>
      </c>
      <c r="N31">
        <f t="shared" si="1"/>
        <v>3.4769999999999999</v>
      </c>
      <c r="O31">
        <f t="shared" si="2"/>
        <v>0.78</v>
      </c>
      <c r="P31">
        <f t="shared" si="3"/>
        <v>1.893</v>
      </c>
      <c r="Q31">
        <f t="shared" si="4"/>
        <v>48.8</v>
      </c>
      <c r="R31">
        <f t="shared" si="5"/>
        <v>87.999999999999986</v>
      </c>
      <c r="S31">
        <f t="shared" si="6"/>
        <v>-0.24</v>
      </c>
      <c r="T31">
        <f t="shared" si="7"/>
        <v>58.400000000000006</v>
      </c>
      <c r="U31">
        <f t="shared" si="8"/>
        <v>48.8</v>
      </c>
      <c r="V31">
        <f t="shared" si="9"/>
        <v>87.999999999999986</v>
      </c>
    </row>
    <row r="32" spans="1:22" x14ac:dyDescent="0.25">
      <c r="M32" t="str">
        <f t="shared" si="0"/>
        <v/>
      </c>
      <c r="N32" t="str">
        <f t="shared" si="1"/>
        <v/>
      </c>
      <c r="O32" t="str">
        <f t="shared" si="2"/>
        <v/>
      </c>
      <c r="P32" t="str">
        <f t="shared" si="3"/>
        <v/>
      </c>
      <c r="Q32" t="str">
        <f t="shared" si="4"/>
        <v/>
      </c>
      <c r="R32" t="str">
        <f t="shared" si="5"/>
        <v/>
      </c>
      <c r="S32" t="str">
        <f t="shared" si="6"/>
        <v/>
      </c>
      <c r="T32" t="str">
        <f t="shared" si="7"/>
        <v/>
      </c>
      <c r="U32" t="str">
        <f t="shared" si="8"/>
        <v/>
      </c>
      <c r="V32" t="str">
        <f t="shared" si="9"/>
        <v/>
      </c>
    </row>
    <row r="33" spans="13:22" x14ac:dyDescent="0.25">
      <c r="M33" t="str">
        <f t="shared" si="0"/>
        <v/>
      </c>
      <c r="N33" t="str">
        <f t="shared" si="1"/>
        <v/>
      </c>
      <c r="O33" t="str">
        <f t="shared" si="2"/>
        <v/>
      </c>
      <c r="P33" t="str">
        <f t="shared" si="3"/>
        <v/>
      </c>
      <c r="Q33" t="str">
        <f t="shared" si="4"/>
        <v/>
      </c>
      <c r="R33" t="str">
        <f t="shared" si="5"/>
        <v/>
      </c>
      <c r="S33" t="str">
        <f t="shared" si="6"/>
        <v/>
      </c>
      <c r="T33" t="str">
        <f t="shared" si="7"/>
        <v/>
      </c>
      <c r="U33" t="str">
        <f t="shared" si="8"/>
        <v/>
      </c>
      <c r="V33" t="str">
        <f t="shared" si="9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11"/>
  <sheetViews>
    <sheetView tabSelected="1" zoomScaleNormal="100" workbookViewId="0">
      <selection activeCell="M4" sqref="M4"/>
    </sheetView>
  </sheetViews>
  <sheetFormatPr defaultColWidth="8.7109375" defaultRowHeight="15" x14ac:dyDescent="0.25"/>
  <cols>
    <col min="1" max="1" width="12" customWidth="1"/>
    <col min="2" max="2" width="10" customWidth="1"/>
    <col min="3" max="3" width="2" customWidth="1"/>
    <col min="4" max="4" width="12" customWidth="1"/>
    <col min="5" max="5" width="10" customWidth="1"/>
    <col min="6" max="6" width="2" customWidth="1"/>
    <col min="7" max="7" width="12" customWidth="1"/>
    <col min="8" max="8" width="10" customWidth="1"/>
    <col min="9" max="9" width="2" customWidth="1"/>
    <col min="10" max="10" width="12" customWidth="1"/>
    <col min="11" max="11" width="10" customWidth="1"/>
    <col min="12" max="12" width="2" customWidth="1"/>
    <col min="13" max="13" width="12" customWidth="1"/>
    <col min="14" max="14" width="10" customWidth="1"/>
    <col min="15" max="15" width="2" customWidth="1"/>
    <col min="16" max="19" width="10" customWidth="1"/>
    <col min="20" max="20" width="2" customWidth="1"/>
    <col min="21" max="21" width="14" customWidth="1"/>
    <col min="22" max="22" width="12" customWidth="1"/>
    <col min="23" max="23" width="30" customWidth="1"/>
  </cols>
  <sheetData>
    <row r="1" spans="1:23" ht="15.75" x14ac:dyDescent="0.25">
      <c r="A1" s="4" t="s">
        <v>49</v>
      </c>
    </row>
    <row r="2" spans="1:23" x14ac:dyDescent="0.25">
      <c r="A2" s="5" t="s">
        <v>50</v>
      </c>
      <c r="D2" s="5" t="s">
        <v>51</v>
      </c>
      <c r="G2" s="5" t="s">
        <v>52</v>
      </c>
      <c r="J2" s="5" t="s">
        <v>53</v>
      </c>
      <c r="M2" s="5" t="s">
        <v>54</v>
      </c>
    </row>
    <row r="3" spans="1:23" x14ac:dyDescent="0.25">
      <c r="A3" s="6" t="s">
        <v>16</v>
      </c>
      <c r="B3" s="7" t="s">
        <v>55</v>
      </c>
      <c r="D3" s="6" t="s">
        <v>18</v>
      </c>
      <c r="E3" s="7" t="s">
        <v>56</v>
      </c>
      <c r="G3" s="6" t="s">
        <v>20</v>
      </c>
      <c r="H3" s="7" t="s">
        <v>57</v>
      </c>
      <c r="J3" s="6" t="s">
        <v>22</v>
      </c>
      <c r="K3" s="7" t="s">
        <v>58</v>
      </c>
      <c r="M3" s="6" t="s">
        <v>59</v>
      </c>
      <c r="N3" s="7" t="s">
        <v>60</v>
      </c>
      <c r="P3" s="7" t="s">
        <v>61</v>
      </c>
      <c r="Q3" s="7" t="s">
        <v>62</v>
      </c>
      <c r="R3" s="7" t="s">
        <v>63</v>
      </c>
      <c r="S3" s="7" t="s">
        <v>64</v>
      </c>
      <c r="U3" s="7" t="s">
        <v>65</v>
      </c>
    </row>
    <row r="4" spans="1:23" x14ac:dyDescent="0.25">
      <c r="A4" s="15" cm="1">
        <f t="array" ref="A4:B310">_xll.BDH("EURUSD Curncy","PX_LAST","20010131","20260731","Per=cm","Dir=V","Dts=S")</f>
        <v>36922</v>
      </c>
      <c r="B4">
        <v>0.93020000000000003</v>
      </c>
      <c r="D4" s="15" cm="1">
        <f t="array" ref="D4:E310">_xll.BDH("EURCHF Curncy","PX_LAST","20010131","20260731","Per=cm","Dir=V","Dts=S")</f>
        <v>36922</v>
      </c>
      <c r="E4">
        <v>1.5278499999999999</v>
      </c>
      <c r="G4" s="15" cm="1">
        <f t="array" ref="G4:H310">_xll.BDH("EURCAD Curncy","PX_LAST","20010131","20260731","Per=cm","Dir=V","Dts=S")</f>
        <v>36922</v>
      </c>
      <c r="H4">
        <v>1.3956999999999999</v>
      </c>
      <c r="J4" s="15" cm="1">
        <f t="array" ref="J4:K310">_xll.BDH("EURAUD Curncy","PX_LAST","20010131","20260731","Per=cm","Dir=V","Dts=S")</f>
        <v>36922</v>
      </c>
      <c r="K4">
        <v>1.6960999999999999</v>
      </c>
      <c r="M4" s="15" cm="1">
        <f t="array" ref="M4:N310">_xll.BDH("EURNZD Curncy","PX_LAST","20010131","20260731","Per=cm","Dir=V","Dts=S")</f>
        <v>36922</v>
      </c>
      <c r="N4">
        <v>2.1034999999999999</v>
      </c>
      <c r="P4" s="12">
        <f t="shared" ref="P4:P67" si="0">IF(OR($A4="",$B4="",$B4=0),"",IFERROR(INDEX(E$4:E$311,MATCH($A4,D$4:D$311,0))/$B4,""))</f>
        <v>1.6424962373683079</v>
      </c>
      <c r="Q4" s="12">
        <f t="shared" ref="Q4:Q67" si="1">IF(OR($A4="",$B4="",$B4=0),"",IFERROR(INDEX(H$4:H$311,MATCH($A4,G$4:G$311,0))/$B4,""))</f>
        <v>1.5004300150505268</v>
      </c>
      <c r="R4" s="12">
        <f t="shared" ref="R4:R67" si="2">IF(OR($A4="",$B4="",$B4=0),"",IFERROR(INDEX(K$4:K$311,MATCH($A4,J$4:J$311,0))/$B4,""))</f>
        <v>1.8233713179961297</v>
      </c>
      <c r="S4" s="12">
        <f t="shared" ref="S4:S67" si="3">IF(OR($A4="",$B4="",$B4=0),"",IFERROR(INDEX(N$4:N$311,MATCH($A4,M$4:M$311,0))/$B4,""))</f>
        <v>2.2613416469576433</v>
      </c>
      <c r="U4" s="13" t="s">
        <v>66</v>
      </c>
      <c r="V4">
        <f>COUNT(B4:B311)</f>
        <v>307</v>
      </c>
      <c r="W4" t="s">
        <v>67</v>
      </c>
    </row>
    <row r="5" spans="1:23" x14ac:dyDescent="0.25">
      <c r="A5" s="15">
        <v>36950</v>
      </c>
      <c r="B5">
        <v>0.92259999999999998</v>
      </c>
      <c r="D5" s="15">
        <v>36950</v>
      </c>
      <c r="E5">
        <v>1.5397000000000001</v>
      </c>
      <c r="G5" s="15">
        <v>36950</v>
      </c>
      <c r="H5">
        <v>1.4148499999999999</v>
      </c>
      <c r="J5" s="15">
        <v>36950</v>
      </c>
      <c r="K5">
        <v>1.758</v>
      </c>
      <c r="M5" s="15">
        <v>36950</v>
      </c>
      <c r="N5">
        <v>2.1514000000000002</v>
      </c>
      <c r="P5" s="12">
        <f t="shared" si="0"/>
        <v>1.6688705831346198</v>
      </c>
      <c r="Q5" s="12">
        <f t="shared" si="1"/>
        <v>1.533546499024496</v>
      </c>
      <c r="R5" s="12">
        <f t="shared" si="2"/>
        <v>1.9054845003251681</v>
      </c>
      <c r="S5" s="12">
        <f t="shared" si="3"/>
        <v>2.331888142206807</v>
      </c>
      <c r="U5" s="13" t="s">
        <v>68</v>
      </c>
      <c r="V5">
        <f>COUNT(P4:P311)</f>
        <v>307</v>
      </c>
      <c r="W5" t="s">
        <v>69</v>
      </c>
    </row>
    <row r="6" spans="1:23" x14ac:dyDescent="0.25">
      <c r="A6" s="15">
        <v>36980</v>
      </c>
      <c r="B6">
        <v>0.87670000000000003</v>
      </c>
      <c r="D6" s="15">
        <v>36980</v>
      </c>
      <c r="E6">
        <v>1.5267500000000001</v>
      </c>
      <c r="G6" s="15">
        <v>36980</v>
      </c>
      <c r="H6">
        <v>1.3879999999999999</v>
      </c>
      <c r="J6" s="15">
        <v>36980</v>
      </c>
      <c r="K6">
        <v>1.8009500000000001</v>
      </c>
      <c r="M6" s="15">
        <v>36980</v>
      </c>
      <c r="N6">
        <v>2.1812999999999998</v>
      </c>
      <c r="P6" s="12">
        <f t="shared" si="0"/>
        <v>1.7414737082240219</v>
      </c>
      <c r="Q6" s="12">
        <f t="shared" si="1"/>
        <v>1.5832097638873044</v>
      </c>
      <c r="R6" s="12">
        <f t="shared" si="2"/>
        <v>2.054237481464583</v>
      </c>
      <c r="S6" s="12">
        <f t="shared" si="3"/>
        <v>2.4880803011292345</v>
      </c>
      <c r="U6" s="13" t="s">
        <v>70</v>
      </c>
      <c r="V6" s="14">
        <f>IF(COUNT(B4:B311)=0,"",MAX(A4:A311))</f>
        <v>46234</v>
      </c>
    </row>
    <row r="7" spans="1:23" x14ac:dyDescent="0.25">
      <c r="A7" s="15">
        <v>37011</v>
      </c>
      <c r="B7">
        <v>0.88600000000000001</v>
      </c>
      <c r="D7" s="15">
        <v>37011</v>
      </c>
      <c r="E7">
        <v>1.5385500000000001</v>
      </c>
      <c r="G7" s="15">
        <v>37011</v>
      </c>
      <c r="H7">
        <v>1.3623000000000001</v>
      </c>
      <c r="J7" s="15">
        <v>37011</v>
      </c>
      <c r="K7">
        <v>1.7375</v>
      </c>
      <c r="M7" s="15">
        <v>37011</v>
      </c>
      <c r="N7">
        <v>2.1463000000000001</v>
      </c>
      <c r="P7" s="12">
        <f t="shared" si="0"/>
        <v>1.7365124153498872</v>
      </c>
      <c r="Q7" s="12">
        <f t="shared" si="1"/>
        <v>1.5375846501128669</v>
      </c>
      <c r="R7" s="12">
        <f t="shared" si="2"/>
        <v>1.9610609480812642</v>
      </c>
      <c r="S7" s="12">
        <f t="shared" si="3"/>
        <v>2.4224604966139958</v>
      </c>
      <c r="U7" s="13" t="s">
        <v>71</v>
      </c>
    </row>
    <row r="8" spans="1:23" x14ac:dyDescent="0.25">
      <c r="A8" s="15">
        <v>37042</v>
      </c>
      <c r="B8">
        <v>0.84570000000000001</v>
      </c>
      <c r="D8" s="15">
        <v>37042</v>
      </c>
      <c r="E8">
        <v>1.5197000000000001</v>
      </c>
      <c r="G8" s="15">
        <v>37042</v>
      </c>
      <c r="H8">
        <v>1.3080000000000001</v>
      </c>
      <c r="J8" s="15">
        <v>37042</v>
      </c>
      <c r="K8">
        <v>1.6736</v>
      </c>
      <c r="M8" s="15">
        <v>37042</v>
      </c>
      <c r="N8">
        <v>2.0710000000000002</v>
      </c>
      <c r="P8" s="12">
        <f t="shared" si="0"/>
        <v>1.796972921839896</v>
      </c>
      <c r="Q8" s="12">
        <f t="shared" si="1"/>
        <v>1.5466477474281661</v>
      </c>
      <c r="R8" s="12">
        <f t="shared" si="2"/>
        <v>1.9789523471680264</v>
      </c>
      <c r="S8" s="12">
        <f t="shared" si="3"/>
        <v>2.4488589334279296</v>
      </c>
    </row>
    <row r="9" spans="1:23" x14ac:dyDescent="0.25">
      <c r="A9" s="15">
        <v>37071</v>
      </c>
      <c r="B9">
        <v>0.84899999999999998</v>
      </c>
      <c r="D9" s="15">
        <v>37071</v>
      </c>
      <c r="E9">
        <v>1.52345</v>
      </c>
      <c r="G9" s="15">
        <v>37071</v>
      </c>
      <c r="H9">
        <v>1.2847</v>
      </c>
      <c r="J9" s="15">
        <v>37071</v>
      </c>
      <c r="K9">
        <v>1.6615</v>
      </c>
      <c r="M9" s="15">
        <v>37071</v>
      </c>
      <c r="N9">
        <v>2.0916000000000001</v>
      </c>
      <c r="P9" s="12">
        <f t="shared" si="0"/>
        <v>1.7944051825677267</v>
      </c>
      <c r="Q9" s="12">
        <f t="shared" si="1"/>
        <v>1.5131919905771496</v>
      </c>
      <c r="R9" s="12">
        <f t="shared" si="2"/>
        <v>1.9570082449941106</v>
      </c>
      <c r="S9" s="12">
        <f t="shared" si="3"/>
        <v>2.4636042402826859</v>
      </c>
    </row>
    <row r="10" spans="1:23" x14ac:dyDescent="0.25">
      <c r="A10" s="15">
        <v>37103</v>
      </c>
      <c r="B10">
        <v>0.87360000000000004</v>
      </c>
      <c r="D10" s="15">
        <v>37103</v>
      </c>
      <c r="E10">
        <v>1.5117499999999999</v>
      </c>
      <c r="G10" s="15">
        <v>37103</v>
      </c>
      <c r="H10">
        <v>1.3351</v>
      </c>
      <c r="J10" s="15">
        <v>37103</v>
      </c>
      <c r="K10">
        <v>1.7196499999999999</v>
      </c>
      <c r="M10" s="15">
        <v>37103</v>
      </c>
      <c r="N10">
        <v>2.1202000000000001</v>
      </c>
      <c r="P10" s="12">
        <f t="shared" si="0"/>
        <v>1.7304830586080584</v>
      </c>
      <c r="Q10" s="12">
        <f t="shared" si="1"/>
        <v>1.5282738095238093</v>
      </c>
      <c r="R10" s="12">
        <f t="shared" si="2"/>
        <v>1.9684638278388276</v>
      </c>
      <c r="S10" s="12">
        <f t="shared" si="3"/>
        <v>2.4269688644688645</v>
      </c>
    </row>
    <row r="11" spans="1:23" x14ac:dyDescent="0.25">
      <c r="A11" s="15">
        <v>37134</v>
      </c>
      <c r="B11">
        <v>0.9123</v>
      </c>
      <c r="D11" s="15">
        <v>37134</v>
      </c>
      <c r="E11">
        <v>1.5165</v>
      </c>
      <c r="G11" s="15">
        <v>37134</v>
      </c>
      <c r="H11">
        <v>1.4103000000000001</v>
      </c>
      <c r="J11" s="15">
        <v>37134</v>
      </c>
      <c r="K11">
        <v>1.7178</v>
      </c>
      <c r="M11" s="15">
        <v>37134</v>
      </c>
      <c r="N11">
        <v>2.0752999999999999</v>
      </c>
      <c r="P11" s="12">
        <f t="shared" si="0"/>
        <v>1.6622821440315685</v>
      </c>
      <c r="Q11" s="12">
        <f t="shared" si="1"/>
        <v>1.5458730680697141</v>
      </c>
      <c r="R11" s="12">
        <f t="shared" si="2"/>
        <v>1.8829332456428807</v>
      </c>
      <c r="S11" s="12">
        <f t="shared" si="3"/>
        <v>2.2747999561547734</v>
      </c>
    </row>
    <row r="12" spans="1:23" x14ac:dyDescent="0.25">
      <c r="A12" s="15">
        <v>37162</v>
      </c>
      <c r="B12">
        <v>0.91139999999999999</v>
      </c>
      <c r="D12" s="15">
        <v>37162</v>
      </c>
      <c r="E12">
        <v>1.4743999999999999</v>
      </c>
      <c r="G12" s="15">
        <v>37162</v>
      </c>
      <c r="H12">
        <v>1.4376</v>
      </c>
      <c r="J12" s="15">
        <v>37162</v>
      </c>
      <c r="K12">
        <v>1.8467499999999999</v>
      </c>
      <c r="M12" s="15">
        <v>37162</v>
      </c>
      <c r="N12">
        <v>2.2408999999999999</v>
      </c>
      <c r="P12" s="12">
        <f t="shared" si="0"/>
        <v>1.6177309633530832</v>
      </c>
      <c r="Q12" s="12">
        <f t="shared" si="1"/>
        <v>1.5773535220539829</v>
      </c>
      <c r="R12" s="12">
        <f t="shared" si="2"/>
        <v>2.0262782532367787</v>
      </c>
      <c r="S12" s="12">
        <f t="shared" si="3"/>
        <v>2.4587447882378757</v>
      </c>
    </row>
    <row r="13" spans="1:23" x14ac:dyDescent="0.25">
      <c r="A13" s="15">
        <v>37195</v>
      </c>
      <c r="B13">
        <v>0.90229999999999999</v>
      </c>
      <c r="D13" s="15">
        <v>37195</v>
      </c>
      <c r="E13">
        <v>1.4711000000000001</v>
      </c>
      <c r="G13" s="15">
        <v>37195</v>
      </c>
      <c r="H13">
        <v>1.4319</v>
      </c>
      <c r="J13" s="15">
        <v>37195</v>
      </c>
      <c r="K13">
        <v>1.7912999999999999</v>
      </c>
      <c r="M13" s="15">
        <v>37195</v>
      </c>
      <c r="N13">
        <v>2.1962000000000002</v>
      </c>
      <c r="P13" s="12">
        <f t="shared" si="0"/>
        <v>1.6303890058738779</v>
      </c>
      <c r="Q13" s="12">
        <f t="shared" si="1"/>
        <v>1.5869444752299677</v>
      </c>
      <c r="R13" s="12">
        <f t="shared" si="2"/>
        <v>1.9852598913886732</v>
      </c>
      <c r="S13" s="12">
        <f t="shared" si="3"/>
        <v>2.4340019949019176</v>
      </c>
    </row>
    <row r="14" spans="1:23" x14ac:dyDescent="0.25">
      <c r="A14" s="15">
        <v>37225</v>
      </c>
      <c r="B14">
        <v>0.89639999999999997</v>
      </c>
      <c r="D14" s="15">
        <v>37225</v>
      </c>
      <c r="E14">
        <v>1.4702500000000001</v>
      </c>
      <c r="G14" s="15">
        <v>37225</v>
      </c>
      <c r="H14">
        <v>1.4091</v>
      </c>
      <c r="J14" s="15">
        <v>37225</v>
      </c>
      <c r="K14">
        <v>1.72</v>
      </c>
      <c r="M14" s="15">
        <v>37225</v>
      </c>
      <c r="N14">
        <v>2.1505000000000001</v>
      </c>
      <c r="P14" s="12">
        <f t="shared" si="0"/>
        <v>1.6401717983043285</v>
      </c>
      <c r="Q14" s="12">
        <f t="shared" si="1"/>
        <v>1.571954484605087</v>
      </c>
      <c r="R14" s="12">
        <f t="shared" si="2"/>
        <v>1.9187862561356537</v>
      </c>
      <c r="S14" s="12">
        <f t="shared" si="3"/>
        <v>2.3990406068719325</v>
      </c>
    </row>
    <row r="15" spans="1:23" x14ac:dyDescent="0.25">
      <c r="A15" s="15">
        <v>37256</v>
      </c>
      <c r="B15">
        <v>0.89029999999999998</v>
      </c>
      <c r="D15" s="15">
        <v>37256</v>
      </c>
      <c r="E15">
        <v>1.4774499999999999</v>
      </c>
      <c r="G15" s="15">
        <v>37256</v>
      </c>
      <c r="H15">
        <v>1.41815</v>
      </c>
      <c r="J15" s="15">
        <v>37256</v>
      </c>
      <c r="K15">
        <v>1.7435499999999999</v>
      </c>
      <c r="M15" s="15">
        <v>37256</v>
      </c>
      <c r="N15">
        <v>2.1366000000000001</v>
      </c>
      <c r="P15" s="12">
        <f t="shared" si="0"/>
        <v>1.6594967988318543</v>
      </c>
      <c r="Q15" s="12">
        <f t="shared" si="1"/>
        <v>1.5928900370661576</v>
      </c>
      <c r="R15" s="12">
        <f t="shared" si="2"/>
        <v>1.9583848141076041</v>
      </c>
      <c r="S15" s="12">
        <f t="shared" si="3"/>
        <v>2.3998652139728183</v>
      </c>
    </row>
    <row r="16" spans="1:23" x14ac:dyDescent="0.25">
      <c r="A16" s="15">
        <v>37287</v>
      </c>
      <c r="B16">
        <v>0.85929999999999995</v>
      </c>
      <c r="D16" s="15">
        <v>37287</v>
      </c>
      <c r="E16">
        <v>1.476</v>
      </c>
      <c r="G16" s="15">
        <v>37287</v>
      </c>
      <c r="H16">
        <v>1.36755</v>
      </c>
      <c r="J16" s="15">
        <v>37287</v>
      </c>
      <c r="K16">
        <v>1.69435</v>
      </c>
      <c r="M16" s="15">
        <v>37287</v>
      </c>
      <c r="N16">
        <v>2.0602</v>
      </c>
      <c r="P16" s="12">
        <f t="shared" si="0"/>
        <v>1.7176771790992669</v>
      </c>
      <c r="Q16" s="12">
        <f t="shared" si="1"/>
        <v>1.5914698010008148</v>
      </c>
      <c r="R16" s="12">
        <f t="shared" si="2"/>
        <v>1.9717793552891889</v>
      </c>
      <c r="S16" s="12">
        <f t="shared" si="3"/>
        <v>2.3975328755964158</v>
      </c>
    </row>
    <row r="17" spans="1:19" x14ac:dyDescent="0.25">
      <c r="A17" s="15">
        <v>37315</v>
      </c>
      <c r="B17">
        <v>0.86939999999999995</v>
      </c>
      <c r="D17" s="15">
        <v>37315</v>
      </c>
      <c r="E17">
        <v>1.47485</v>
      </c>
      <c r="G17" s="15">
        <v>37315</v>
      </c>
      <c r="H17">
        <v>1.3914</v>
      </c>
      <c r="J17" s="15">
        <v>37315</v>
      </c>
      <c r="K17">
        <v>1.67865</v>
      </c>
      <c r="M17" s="15">
        <v>37315</v>
      </c>
      <c r="N17">
        <v>2.0556999999999999</v>
      </c>
      <c r="P17" s="12">
        <f t="shared" si="0"/>
        <v>1.6963998159650335</v>
      </c>
      <c r="Q17" s="12">
        <f t="shared" si="1"/>
        <v>1.6004140786749483</v>
      </c>
      <c r="R17" s="12">
        <f t="shared" si="2"/>
        <v>1.9308143547273984</v>
      </c>
      <c r="S17" s="12">
        <f t="shared" si="3"/>
        <v>2.3645042558086038</v>
      </c>
    </row>
    <row r="18" spans="1:19" x14ac:dyDescent="0.25">
      <c r="A18" s="15">
        <v>37344</v>
      </c>
      <c r="B18">
        <v>0.87170000000000003</v>
      </c>
      <c r="D18" s="15">
        <v>37344</v>
      </c>
      <c r="E18">
        <v>1.4656499999999999</v>
      </c>
      <c r="G18" s="15">
        <v>37344</v>
      </c>
      <c r="H18">
        <v>1.3896500000000001</v>
      </c>
      <c r="J18" s="15">
        <v>37344</v>
      </c>
      <c r="K18">
        <v>1.6327</v>
      </c>
      <c r="M18" s="15">
        <v>37344</v>
      </c>
      <c r="N18">
        <v>1.9782999999999999</v>
      </c>
      <c r="P18" s="12">
        <f t="shared" si="0"/>
        <v>1.6813697372949408</v>
      </c>
      <c r="Q18" s="12">
        <f t="shared" si="1"/>
        <v>1.5941837788229896</v>
      </c>
      <c r="R18" s="12">
        <f t="shared" si="2"/>
        <v>1.8730067683836182</v>
      </c>
      <c r="S18" s="12">
        <f t="shared" si="3"/>
        <v>2.269473442698176</v>
      </c>
    </row>
    <row r="19" spans="1:19" x14ac:dyDescent="0.25">
      <c r="A19" s="15">
        <v>37376</v>
      </c>
      <c r="B19">
        <v>0.90169999999999995</v>
      </c>
      <c r="D19" s="15">
        <v>37376</v>
      </c>
      <c r="E19">
        <v>1.4590000000000001</v>
      </c>
      <c r="G19" s="15">
        <v>37376</v>
      </c>
      <c r="H19">
        <v>1.41435</v>
      </c>
      <c r="J19" s="15">
        <v>37376</v>
      </c>
      <c r="K19">
        <v>1.6748499999999999</v>
      </c>
      <c r="M19" s="15">
        <v>37376</v>
      </c>
      <c r="N19">
        <v>2.0424000000000002</v>
      </c>
      <c r="P19" s="12">
        <f t="shared" si="0"/>
        <v>1.6180547854053455</v>
      </c>
      <c r="Q19" s="12">
        <f t="shared" si="1"/>
        <v>1.5685372074969504</v>
      </c>
      <c r="R19" s="12">
        <f t="shared" si="2"/>
        <v>1.8574359543085284</v>
      </c>
      <c r="S19" s="12">
        <f t="shared" si="3"/>
        <v>2.2650548963069759</v>
      </c>
    </row>
    <row r="20" spans="1:19" x14ac:dyDescent="0.25">
      <c r="A20" s="15">
        <v>37407</v>
      </c>
      <c r="B20">
        <v>0.93420000000000003</v>
      </c>
      <c r="D20" s="15">
        <v>37407</v>
      </c>
      <c r="E20">
        <v>1.4658</v>
      </c>
      <c r="G20" s="15">
        <v>37407</v>
      </c>
      <c r="H20">
        <v>1.4229000000000001</v>
      </c>
      <c r="J20" s="15">
        <v>37407</v>
      </c>
      <c r="K20">
        <v>1.64395</v>
      </c>
      <c r="M20" s="15">
        <v>37407</v>
      </c>
      <c r="N20">
        <v>1.9622999999999999</v>
      </c>
      <c r="P20" s="12">
        <f t="shared" si="0"/>
        <v>1.5690430314707771</v>
      </c>
      <c r="Q20" s="12">
        <f t="shared" si="1"/>
        <v>1.523121387283237</v>
      </c>
      <c r="R20" s="12">
        <f t="shared" si="2"/>
        <v>1.7597409548276599</v>
      </c>
      <c r="S20" s="12">
        <f t="shared" si="3"/>
        <v>2.1005138086062942</v>
      </c>
    </row>
    <row r="21" spans="1:19" x14ac:dyDescent="0.25">
      <c r="A21" s="15">
        <v>37435</v>
      </c>
      <c r="B21">
        <v>0.99150000000000005</v>
      </c>
      <c r="D21" s="15">
        <v>37435</v>
      </c>
      <c r="E21">
        <v>1.4702500000000001</v>
      </c>
      <c r="G21" s="15">
        <v>37435</v>
      </c>
      <c r="H21">
        <v>1.4984500000000001</v>
      </c>
      <c r="J21" s="15">
        <v>37435</v>
      </c>
      <c r="K21">
        <v>1.7563</v>
      </c>
      <c r="M21" s="15">
        <v>37435</v>
      </c>
      <c r="N21">
        <v>2.0329999999999999</v>
      </c>
      <c r="P21" s="12">
        <f t="shared" si="0"/>
        <v>1.4828542612203732</v>
      </c>
      <c r="Q21" s="12">
        <f t="shared" si="1"/>
        <v>1.5112960161371658</v>
      </c>
      <c r="R21" s="12">
        <f t="shared" si="2"/>
        <v>1.7713565305093293</v>
      </c>
      <c r="S21" s="12">
        <f t="shared" si="3"/>
        <v>2.0504286434694903</v>
      </c>
    </row>
    <row r="22" spans="1:19" x14ac:dyDescent="0.25">
      <c r="A22" s="15">
        <v>37468</v>
      </c>
      <c r="B22">
        <v>0.97940000000000005</v>
      </c>
      <c r="D22" s="15">
        <v>37468</v>
      </c>
      <c r="E22">
        <v>1.45305</v>
      </c>
      <c r="G22" s="15">
        <v>37468</v>
      </c>
      <c r="H22">
        <v>1.5512999999999999</v>
      </c>
      <c r="J22" s="15">
        <v>37468</v>
      </c>
      <c r="K22">
        <v>1.8025</v>
      </c>
      <c r="M22" s="15">
        <v>37468</v>
      </c>
      <c r="N22">
        <v>2.0990000000000002</v>
      </c>
      <c r="P22" s="12">
        <f t="shared" si="0"/>
        <v>1.4836124157647539</v>
      </c>
      <c r="Q22" s="12">
        <f t="shared" si="1"/>
        <v>1.5839289360833162</v>
      </c>
      <c r="R22" s="12">
        <f t="shared" si="2"/>
        <v>1.8404124974474168</v>
      </c>
      <c r="S22" s="12">
        <f t="shared" si="3"/>
        <v>2.1431488666530529</v>
      </c>
    </row>
    <row r="23" spans="1:19" x14ac:dyDescent="0.25">
      <c r="A23" s="15">
        <v>37498</v>
      </c>
      <c r="B23">
        <v>0.98229999999999995</v>
      </c>
      <c r="D23" s="15">
        <v>37498</v>
      </c>
      <c r="E23">
        <v>1.4712000000000001</v>
      </c>
      <c r="G23" s="15">
        <v>37498</v>
      </c>
      <c r="H23">
        <v>1.5286</v>
      </c>
      <c r="J23" s="15">
        <v>37498</v>
      </c>
      <c r="K23">
        <v>1.7821</v>
      </c>
      <c r="M23" s="15">
        <v>37498</v>
      </c>
      <c r="N23">
        <v>2.0939999999999999</v>
      </c>
      <c r="P23" s="12">
        <f t="shared" si="0"/>
        <v>1.4977094573959078</v>
      </c>
      <c r="Q23" s="12">
        <f t="shared" si="1"/>
        <v>1.5561437442736434</v>
      </c>
      <c r="R23" s="12">
        <f t="shared" si="2"/>
        <v>1.8142115443347246</v>
      </c>
      <c r="S23" s="12">
        <f t="shared" si="3"/>
        <v>2.1317316502086938</v>
      </c>
    </row>
    <row r="24" spans="1:19" x14ac:dyDescent="0.25">
      <c r="A24" s="15">
        <v>37529</v>
      </c>
      <c r="B24">
        <v>0.9879</v>
      </c>
      <c r="D24" s="15">
        <v>37529</v>
      </c>
      <c r="E24">
        <v>1.4571000000000001</v>
      </c>
      <c r="G24" s="15">
        <v>37529</v>
      </c>
      <c r="H24">
        <v>1.5656000000000001</v>
      </c>
      <c r="J24" s="15">
        <v>37529</v>
      </c>
      <c r="K24">
        <v>1.8203</v>
      </c>
      <c r="M24" s="15">
        <v>37529</v>
      </c>
      <c r="N24">
        <v>2.1025999999999998</v>
      </c>
      <c r="P24" s="12">
        <f t="shared" si="0"/>
        <v>1.4749468569693289</v>
      </c>
      <c r="Q24" s="12">
        <f t="shared" si="1"/>
        <v>1.5847757870229782</v>
      </c>
      <c r="R24" s="12">
        <f t="shared" si="2"/>
        <v>1.8425954043931572</v>
      </c>
      <c r="S24" s="12">
        <f t="shared" si="3"/>
        <v>2.1283530721732968</v>
      </c>
    </row>
    <row r="25" spans="1:19" x14ac:dyDescent="0.25">
      <c r="A25" s="15">
        <v>37560</v>
      </c>
      <c r="B25">
        <v>0.98950000000000005</v>
      </c>
      <c r="D25" s="15">
        <v>37560</v>
      </c>
      <c r="E25">
        <v>1.46245</v>
      </c>
      <c r="G25" s="15">
        <v>37560</v>
      </c>
      <c r="H25">
        <v>1.5448</v>
      </c>
      <c r="J25" s="15">
        <v>37560</v>
      </c>
      <c r="K25">
        <v>1.7835000000000001</v>
      </c>
      <c r="M25" s="15">
        <v>37560</v>
      </c>
      <c r="N25">
        <v>2.0362</v>
      </c>
      <c r="P25" s="12">
        <f t="shared" si="0"/>
        <v>1.4779686710459827</v>
      </c>
      <c r="Q25" s="12">
        <f t="shared" si="1"/>
        <v>1.5611925214754925</v>
      </c>
      <c r="R25" s="12">
        <f t="shared" si="2"/>
        <v>1.8024254674077818</v>
      </c>
      <c r="S25" s="12">
        <f t="shared" si="3"/>
        <v>2.0578069732187974</v>
      </c>
    </row>
    <row r="26" spans="1:19" x14ac:dyDescent="0.25">
      <c r="A26" s="15">
        <v>37589</v>
      </c>
      <c r="B26">
        <v>0.99429999999999996</v>
      </c>
      <c r="D26" s="15">
        <v>37589</v>
      </c>
      <c r="E26">
        <v>1.4753499999999999</v>
      </c>
      <c r="G26" s="15">
        <v>37589</v>
      </c>
      <c r="H26">
        <v>1.5550999999999999</v>
      </c>
      <c r="J26" s="15">
        <v>37589</v>
      </c>
      <c r="K26">
        <v>1.7741</v>
      </c>
      <c r="M26" s="15">
        <v>37589</v>
      </c>
      <c r="N26">
        <v>1.9961</v>
      </c>
      <c r="P26" s="12">
        <f t="shared" si="0"/>
        <v>1.4838077039123001</v>
      </c>
      <c r="Q26" s="12">
        <f t="shared" si="1"/>
        <v>1.5640148848436086</v>
      </c>
      <c r="R26" s="12">
        <f t="shared" si="2"/>
        <v>1.7842703409433773</v>
      </c>
      <c r="S26" s="12">
        <f t="shared" si="3"/>
        <v>2.0075429950719101</v>
      </c>
    </row>
    <row r="27" spans="1:19" x14ac:dyDescent="0.25">
      <c r="A27" s="15">
        <v>37621</v>
      </c>
      <c r="B27">
        <v>1.0504</v>
      </c>
      <c r="D27" s="15">
        <v>37621</v>
      </c>
      <c r="E27">
        <v>1.4508000000000001</v>
      </c>
      <c r="G27" s="15">
        <v>37621</v>
      </c>
      <c r="H27">
        <v>1.6552</v>
      </c>
      <c r="J27" s="15">
        <v>37621</v>
      </c>
      <c r="K27">
        <v>1.8781000000000001</v>
      </c>
      <c r="M27" s="15">
        <v>37621</v>
      </c>
      <c r="N27">
        <v>2.0059999999999998</v>
      </c>
      <c r="P27" s="12">
        <f t="shared" si="0"/>
        <v>1.3811881188118813</v>
      </c>
      <c r="Q27" s="12">
        <f t="shared" si="1"/>
        <v>1.5757806549885758</v>
      </c>
      <c r="R27" s="12">
        <f t="shared" si="2"/>
        <v>1.7879855293221631</v>
      </c>
      <c r="S27" s="12">
        <f t="shared" si="3"/>
        <v>1.9097486671744095</v>
      </c>
    </row>
    <row r="28" spans="1:19" x14ac:dyDescent="0.25">
      <c r="A28" s="15">
        <v>37652</v>
      </c>
      <c r="B28">
        <v>1.0768</v>
      </c>
      <c r="D28" s="15">
        <v>37652</v>
      </c>
      <c r="E28">
        <v>1.46855</v>
      </c>
      <c r="G28" s="15">
        <v>37652</v>
      </c>
      <c r="H28">
        <v>1.63425</v>
      </c>
      <c r="J28" s="15">
        <v>37652</v>
      </c>
      <c r="K28">
        <v>1.8290999999999999</v>
      </c>
      <c r="M28" s="15">
        <v>37652</v>
      </c>
      <c r="N28">
        <v>1.9658</v>
      </c>
      <c r="P28" s="12">
        <f t="shared" si="0"/>
        <v>1.3638094353640418</v>
      </c>
      <c r="Q28" s="12">
        <f t="shared" si="1"/>
        <v>1.517691307578009</v>
      </c>
      <c r="R28" s="12">
        <f t="shared" si="2"/>
        <v>1.6986441307578009</v>
      </c>
      <c r="S28" s="12">
        <f t="shared" si="3"/>
        <v>1.825594353640416</v>
      </c>
    </row>
    <row r="29" spans="1:19" x14ac:dyDescent="0.25">
      <c r="A29" s="15">
        <v>37680</v>
      </c>
      <c r="B29">
        <v>1.0807</v>
      </c>
      <c r="D29" s="15">
        <v>37680</v>
      </c>
      <c r="E29">
        <v>1.4608000000000001</v>
      </c>
      <c r="G29" s="15">
        <v>37680</v>
      </c>
      <c r="H29">
        <v>1.6042000000000001</v>
      </c>
      <c r="J29" s="15">
        <v>37680</v>
      </c>
      <c r="K29">
        <v>1.7744</v>
      </c>
      <c r="M29" s="15">
        <v>37680</v>
      </c>
      <c r="N29">
        <v>1.9272</v>
      </c>
      <c r="P29" s="12">
        <f t="shared" si="0"/>
        <v>1.351716480059221</v>
      </c>
      <c r="Q29" s="12">
        <f t="shared" si="1"/>
        <v>1.4844082539095032</v>
      </c>
      <c r="R29" s="12">
        <f t="shared" si="2"/>
        <v>1.6418987693161839</v>
      </c>
      <c r="S29" s="12">
        <f t="shared" si="3"/>
        <v>1.7832886092347553</v>
      </c>
    </row>
    <row r="30" spans="1:19" x14ac:dyDescent="0.25">
      <c r="A30" s="15">
        <v>37711</v>
      </c>
      <c r="B30">
        <v>1.0902000000000001</v>
      </c>
      <c r="D30" s="15">
        <v>37711</v>
      </c>
      <c r="E30">
        <v>1.4752000000000001</v>
      </c>
      <c r="G30" s="15">
        <v>37711</v>
      </c>
      <c r="H30">
        <v>1.6012999999999999</v>
      </c>
      <c r="J30" s="15">
        <v>37711</v>
      </c>
      <c r="K30">
        <v>1.802</v>
      </c>
      <c r="M30" s="15">
        <v>37711</v>
      </c>
      <c r="N30">
        <v>1.9681</v>
      </c>
      <c r="P30" s="12">
        <f t="shared" si="0"/>
        <v>1.3531462117042745</v>
      </c>
      <c r="Q30" s="12">
        <f t="shared" si="1"/>
        <v>1.4688130618235185</v>
      </c>
      <c r="R30" s="12">
        <f t="shared" si="2"/>
        <v>1.652907723353513</v>
      </c>
      <c r="S30" s="12">
        <f t="shared" si="3"/>
        <v>1.8052650889744999</v>
      </c>
    </row>
    <row r="31" spans="1:19" x14ac:dyDescent="0.25">
      <c r="A31" s="15">
        <v>37741</v>
      </c>
      <c r="B31">
        <v>1.1164000000000001</v>
      </c>
      <c r="D31" s="15">
        <v>37741</v>
      </c>
      <c r="E31">
        <v>1.5143500000000001</v>
      </c>
      <c r="G31" s="15">
        <v>37741</v>
      </c>
      <c r="H31">
        <v>1.6012</v>
      </c>
      <c r="J31" s="15">
        <v>37741</v>
      </c>
      <c r="K31">
        <v>1.7829999999999999</v>
      </c>
      <c r="M31" s="15">
        <v>37741</v>
      </c>
      <c r="N31">
        <v>1.9956</v>
      </c>
      <c r="P31" s="12">
        <f t="shared" si="0"/>
        <v>1.356458258688642</v>
      </c>
      <c r="Q31" s="12">
        <f t="shared" si="1"/>
        <v>1.4342529559297741</v>
      </c>
      <c r="R31" s="12">
        <f t="shared" si="2"/>
        <v>1.5970978144034396</v>
      </c>
      <c r="S31" s="12">
        <f t="shared" si="3"/>
        <v>1.7875313507703332</v>
      </c>
    </row>
    <row r="32" spans="1:19" x14ac:dyDescent="0.25">
      <c r="A32" s="15">
        <v>37771</v>
      </c>
      <c r="B32">
        <v>1.1783999999999999</v>
      </c>
      <c r="D32" s="15">
        <v>37771</v>
      </c>
      <c r="E32">
        <v>1.5306500000000001</v>
      </c>
      <c r="G32" s="15">
        <v>37771</v>
      </c>
      <c r="H32">
        <v>1.6133999999999999</v>
      </c>
      <c r="J32" s="15">
        <v>37771</v>
      </c>
      <c r="K32">
        <v>1.8048999999999999</v>
      </c>
      <c r="M32" s="15">
        <v>37771</v>
      </c>
      <c r="N32">
        <v>2.0442999999999998</v>
      </c>
      <c r="P32" s="12">
        <f t="shared" si="0"/>
        <v>1.2989222674813308</v>
      </c>
      <c r="Q32" s="12">
        <f t="shared" si="1"/>
        <v>1.3691446028513239</v>
      </c>
      <c r="R32" s="12">
        <f t="shared" si="2"/>
        <v>1.5316530889341482</v>
      </c>
      <c r="S32" s="12">
        <f t="shared" si="3"/>
        <v>1.7348099117447386</v>
      </c>
    </row>
    <row r="33" spans="1:19" x14ac:dyDescent="0.25">
      <c r="A33" s="15">
        <v>37802</v>
      </c>
      <c r="B33">
        <v>1.1483000000000001</v>
      </c>
      <c r="D33" s="15">
        <v>37802</v>
      </c>
      <c r="E33">
        <v>1.5540499999999999</v>
      </c>
      <c r="G33" s="15">
        <v>37802</v>
      </c>
      <c r="H33">
        <v>1.5541499999999999</v>
      </c>
      <c r="J33" s="15">
        <v>37802</v>
      </c>
      <c r="K33">
        <v>1.7120500000000001</v>
      </c>
      <c r="M33" s="15">
        <v>37802</v>
      </c>
      <c r="N33">
        <v>1.9594</v>
      </c>
      <c r="P33" s="12">
        <f t="shared" si="0"/>
        <v>1.3533484281111205</v>
      </c>
      <c r="Q33" s="12">
        <f t="shared" si="1"/>
        <v>1.3534355133675866</v>
      </c>
      <c r="R33" s="12">
        <f t="shared" si="2"/>
        <v>1.4909431333275276</v>
      </c>
      <c r="S33" s="12">
        <f t="shared" si="3"/>
        <v>1.7063485151963771</v>
      </c>
    </row>
    <row r="34" spans="1:19" x14ac:dyDescent="0.25">
      <c r="A34" s="15">
        <v>37833</v>
      </c>
      <c r="B34">
        <v>1.1235999999999999</v>
      </c>
      <c r="D34" s="15">
        <v>37833</v>
      </c>
      <c r="E34">
        <v>1.5405</v>
      </c>
      <c r="G34" s="15">
        <v>37833</v>
      </c>
      <c r="H34">
        <v>1.58395</v>
      </c>
      <c r="J34" s="15">
        <v>37833</v>
      </c>
      <c r="K34">
        <v>1.73525</v>
      </c>
      <c r="M34" s="15">
        <v>37833</v>
      </c>
      <c r="N34">
        <v>1.9378</v>
      </c>
      <c r="P34" s="12">
        <f t="shared" si="0"/>
        <v>1.3710395158419366</v>
      </c>
      <c r="Q34" s="12">
        <f t="shared" si="1"/>
        <v>1.4097098611605554</v>
      </c>
      <c r="R34" s="12">
        <f t="shared" si="2"/>
        <v>1.54436632253471</v>
      </c>
      <c r="S34" s="12">
        <f t="shared" si="3"/>
        <v>1.7246351014595942</v>
      </c>
    </row>
    <row r="35" spans="1:19" x14ac:dyDescent="0.25">
      <c r="A35" s="15">
        <v>37862</v>
      </c>
      <c r="B35">
        <v>1.0984</v>
      </c>
      <c r="D35" s="15">
        <v>37862</v>
      </c>
      <c r="E35">
        <v>1.5396000000000001</v>
      </c>
      <c r="G35" s="15">
        <v>37862</v>
      </c>
      <c r="H35">
        <v>1.5200499999999999</v>
      </c>
      <c r="J35" s="15">
        <v>37862</v>
      </c>
      <c r="K35">
        <v>1.6912499999999999</v>
      </c>
      <c r="M35" s="15">
        <v>37862</v>
      </c>
      <c r="N35">
        <v>1.897</v>
      </c>
      <c r="P35" s="12">
        <f t="shared" si="0"/>
        <v>1.4016751638747269</v>
      </c>
      <c r="Q35" s="12">
        <f t="shared" si="1"/>
        <v>1.3838765477057537</v>
      </c>
      <c r="R35" s="12">
        <f t="shared" si="2"/>
        <v>1.5397396212672978</v>
      </c>
      <c r="S35" s="12">
        <f t="shared" si="3"/>
        <v>1.7270575382374362</v>
      </c>
    </row>
    <row r="36" spans="1:19" x14ac:dyDescent="0.25">
      <c r="A36" s="15">
        <v>37894</v>
      </c>
      <c r="B36">
        <v>1.1667000000000001</v>
      </c>
      <c r="D36" s="15">
        <v>37894</v>
      </c>
      <c r="E36">
        <v>1.5383500000000001</v>
      </c>
      <c r="G36" s="15">
        <v>37894</v>
      </c>
      <c r="H36">
        <v>1.5742499999999999</v>
      </c>
      <c r="J36" s="15">
        <v>37894</v>
      </c>
      <c r="K36">
        <v>1.7125999999999999</v>
      </c>
      <c r="M36" s="15">
        <v>37894</v>
      </c>
      <c r="N36">
        <v>1.9615</v>
      </c>
      <c r="P36" s="12">
        <f t="shared" si="0"/>
        <v>1.318548041484529</v>
      </c>
      <c r="Q36" s="12">
        <f t="shared" si="1"/>
        <v>1.3493185908974028</v>
      </c>
      <c r="R36" s="12">
        <f t="shared" si="2"/>
        <v>1.4679009171166537</v>
      </c>
      <c r="S36" s="12">
        <f t="shared" si="3"/>
        <v>1.6812376789234593</v>
      </c>
    </row>
    <row r="37" spans="1:19" x14ac:dyDescent="0.25">
      <c r="A37" s="15">
        <v>37925</v>
      </c>
      <c r="B37">
        <v>1.1593</v>
      </c>
      <c r="D37" s="15">
        <v>37925</v>
      </c>
      <c r="E37">
        <v>1.55185</v>
      </c>
      <c r="G37" s="15">
        <v>37925</v>
      </c>
      <c r="H37">
        <v>1.5282</v>
      </c>
      <c r="J37" s="15">
        <v>37925</v>
      </c>
      <c r="K37">
        <v>1.63835</v>
      </c>
      <c r="M37" s="15">
        <v>37925</v>
      </c>
      <c r="N37">
        <v>1.8935999999999999</v>
      </c>
      <c r="P37" s="12">
        <f t="shared" si="0"/>
        <v>1.3386095057362202</v>
      </c>
      <c r="Q37" s="12">
        <f t="shared" si="1"/>
        <v>1.318209264211162</v>
      </c>
      <c r="R37" s="12">
        <f t="shared" si="2"/>
        <v>1.4132234969378072</v>
      </c>
      <c r="S37" s="12">
        <f t="shared" si="3"/>
        <v>1.6333994651945138</v>
      </c>
    </row>
    <row r="38" spans="1:19" x14ac:dyDescent="0.25">
      <c r="A38" s="15">
        <v>37953</v>
      </c>
      <c r="B38">
        <v>1.1996</v>
      </c>
      <c r="D38" s="15">
        <v>37953</v>
      </c>
      <c r="E38">
        <v>1.54935</v>
      </c>
      <c r="G38" s="15">
        <v>37953</v>
      </c>
      <c r="H38">
        <v>1.55565</v>
      </c>
      <c r="J38" s="15">
        <v>37953</v>
      </c>
      <c r="K38">
        <v>1.6559999999999999</v>
      </c>
      <c r="M38" s="15">
        <v>37953</v>
      </c>
      <c r="N38">
        <v>1.8754</v>
      </c>
      <c r="P38" s="12">
        <f t="shared" si="0"/>
        <v>1.2915555185061687</v>
      </c>
      <c r="Q38" s="12">
        <f t="shared" si="1"/>
        <v>1.2968072690896966</v>
      </c>
      <c r="R38" s="12">
        <f t="shared" si="2"/>
        <v>1.3804601533844614</v>
      </c>
      <c r="S38" s="12">
        <f t="shared" si="3"/>
        <v>1.563354451483828</v>
      </c>
    </row>
    <row r="39" spans="1:19" x14ac:dyDescent="0.25">
      <c r="A39" s="15">
        <v>37986</v>
      </c>
      <c r="B39">
        <v>1.2564</v>
      </c>
      <c r="D39" s="15">
        <v>37986</v>
      </c>
      <c r="E39">
        <v>1.5599499999999999</v>
      </c>
      <c r="G39" s="15">
        <v>37986</v>
      </c>
      <c r="H39">
        <v>1.62805</v>
      </c>
      <c r="J39" s="15">
        <v>37986</v>
      </c>
      <c r="K39">
        <v>1.6710499999999999</v>
      </c>
      <c r="M39" s="15">
        <v>37986</v>
      </c>
      <c r="N39">
        <v>1.9176</v>
      </c>
      <c r="P39" s="12">
        <f t="shared" si="0"/>
        <v>1.2416029926774912</v>
      </c>
      <c r="Q39" s="12">
        <f t="shared" si="1"/>
        <v>1.2958054759630691</v>
      </c>
      <c r="R39" s="12">
        <f t="shared" si="2"/>
        <v>1.3300302451448582</v>
      </c>
      <c r="S39" s="12">
        <f t="shared" si="3"/>
        <v>1.5262655205348616</v>
      </c>
    </row>
    <row r="40" spans="1:19" x14ac:dyDescent="0.25">
      <c r="A40" s="15">
        <v>38016</v>
      </c>
      <c r="B40">
        <v>1.2478</v>
      </c>
      <c r="D40" s="15">
        <v>38016</v>
      </c>
      <c r="E40">
        <v>1.5683499999999999</v>
      </c>
      <c r="G40" s="15">
        <v>38016</v>
      </c>
      <c r="H40">
        <v>1.6529499999999999</v>
      </c>
      <c r="J40" s="15">
        <v>38016</v>
      </c>
      <c r="K40">
        <v>1.6339999999999999</v>
      </c>
      <c r="M40" s="15">
        <v>38016</v>
      </c>
      <c r="N40">
        <v>1.8549</v>
      </c>
      <c r="P40" s="12">
        <f t="shared" si="0"/>
        <v>1.2568921301490623</v>
      </c>
      <c r="Q40" s="12">
        <f t="shared" si="1"/>
        <v>1.3246914569642569</v>
      </c>
      <c r="R40" s="12">
        <f t="shared" si="2"/>
        <v>1.3095047283218464</v>
      </c>
      <c r="S40" s="12">
        <f t="shared" si="3"/>
        <v>1.4865363038948549</v>
      </c>
    </row>
    <row r="41" spans="1:19" x14ac:dyDescent="0.25">
      <c r="A41" s="15">
        <v>38044</v>
      </c>
      <c r="B41">
        <v>1.2493000000000001</v>
      </c>
      <c r="D41" s="15">
        <v>38044</v>
      </c>
      <c r="E41">
        <v>1.5764800000000001</v>
      </c>
      <c r="G41" s="15">
        <v>38044</v>
      </c>
      <c r="H41">
        <v>1.66865</v>
      </c>
      <c r="J41" s="15">
        <v>38044</v>
      </c>
      <c r="K41">
        <v>1.61375</v>
      </c>
      <c r="M41" s="15">
        <v>38044</v>
      </c>
      <c r="N41">
        <v>1.8170999999999999</v>
      </c>
      <c r="P41" s="12">
        <f t="shared" si="0"/>
        <v>1.2618906587689105</v>
      </c>
      <c r="Q41" s="12">
        <f t="shared" si="1"/>
        <v>1.3356679740654767</v>
      </c>
      <c r="R41" s="12">
        <f t="shared" si="2"/>
        <v>1.2917233650844473</v>
      </c>
      <c r="S41" s="12">
        <f t="shared" si="3"/>
        <v>1.4544945169294803</v>
      </c>
    </row>
    <row r="42" spans="1:19" x14ac:dyDescent="0.25">
      <c r="A42" s="15">
        <v>38077</v>
      </c>
      <c r="B42">
        <v>1.2295</v>
      </c>
      <c r="D42" s="15">
        <v>38077</v>
      </c>
      <c r="E42">
        <v>1.5582</v>
      </c>
      <c r="G42" s="15">
        <v>38077</v>
      </c>
      <c r="H42">
        <v>1.6106</v>
      </c>
      <c r="J42" s="15">
        <v>38077</v>
      </c>
      <c r="K42">
        <v>1.6115999999999999</v>
      </c>
      <c r="M42" s="15">
        <v>38077</v>
      </c>
      <c r="N42">
        <v>1.8486</v>
      </c>
      <c r="P42" s="12">
        <f t="shared" si="0"/>
        <v>1.267344448962993</v>
      </c>
      <c r="Q42" s="12">
        <f t="shared" si="1"/>
        <v>1.3099633997559983</v>
      </c>
      <c r="R42" s="12">
        <f t="shared" si="2"/>
        <v>1.31077673851159</v>
      </c>
      <c r="S42" s="12">
        <f t="shared" si="3"/>
        <v>1.5035380235868239</v>
      </c>
    </row>
    <row r="43" spans="1:19" x14ac:dyDescent="0.25">
      <c r="A43" s="15">
        <v>38107</v>
      </c>
      <c r="B43">
        <v>1.198</v>
      </c>
      <c r="D43" s="15">
        <v>38107</v>
      </c>
      <c r="E43">
        <v>1.5539000000000001</v>
      </c>
      <c r="G43" s="15">
        <v>38107</v>
      </c>
      <c r="H43">
        <v>1.6428</v>
      </c>
      <c r="J43" s="15">
        <v>38107</v>
      </c>
      <c r="K43">
        <v>1.6605000000000001</v>
      </c>
      <c r="M43" s="15">
        <v>38107</v>
      </c>
      <c r="N43">
        <v>1.9117</v>
      </c>
      <c r="P43" s="12">
        <f t="shared" si="0"/>
        <v>1.2970784641068449</v>
      </c>
      <c r="Q43" s="12">
        <f t="shared" si="1"/>
        <v>1.3712854757929884</v>
      </c>
      <c r="R43" s="12">
        <f t="shared" si="2"/>
        <v>1.386060100166945</v>
      </c>
      <c r="S43" s="12">
        <f t="shared" si="3"/>
        <v>1.5957429048414025</v>
      </c>
    </row>
    <row r="44" spans="1:19" x14ac:dyDescent="0.25">
      <c r="A44" s="15">
        <v>38138</v>
      </c>
      <c r="B44">
        <v>1.2189000000000001</v>
      </c>
      <c r="D44" s="15">
        <v>38138</v>
      </c>
      <c r="E44">
        <v>1.5286999999999999</v>
      </c>
      <c r="G44" s="15">
        <v>38138</v>
      </c>
      <c r="H44">
        <v>1.6614</v>
      </c>
      <c r="J44" s="15">
        <v>38138</v>
      </c>
      <c r="K44">
        <v>1.70475</v>
      </c>
      <c r="M44" s="15">
        <v>38138</v>
      </c>
      <c r="N44">
        <v>1.9319999999999999</v>
      </c>
      <c r="P44" s="12">
        <f t="shared" si="0"/>
        <v>1.2541635901222412</v>
      </c>
      <c r="Q44" s="12">
        <f t="shared" si="1"/>
        <v>1.3630322421855769</v>
      </c>
      <c r="R44" s="12">
        <f t="shared" si="2"/>
        <v>1.3985970957420624</v>
      </c>
      <c r="S44" s="12">
        <f t="shared" si="3"/>
        <v>1.5850356879153333</v>
      </c>
    </row>
    <row r="45" spans="1:19" x14ac:dyDescent="0.25">
      <c r="A45" s="15">
        <v>38168</v>
      </c>
      <c r="B45">
        <v>1.2169000000000001</v>
      </c>
      <c r="D45" s="15">
        <v>38168</v>
      </c>
      <c r="E45">
        <v>1.52515</v>
      </c>
      <c r="G45" s="15">
        <v>38168</v>
      </c>
      <c r="H45">
        <v>1.6269499999999999</v>
      </c>
      <c r="J45" s="15">
        <v>38168</v>
      </c>
      <c r="K45">
        <v>1.7519499999999999</v>
      </c>
      <c r="M45" s="15">
        <v>38168</v>
      </c>
      <c r="N45">
        <v>1.9255</v>
      </c>
      <c r="P45" s="12">
        <f t="shared" si="0"/>
        <v>1.2533075848467417</v>
      </c>
      <c r="Q45" s="12">
        <f t="shared" si="1"/>
        <v>1.3369627742624701</v>
      </c>
      <c r="R45" s="12">
        <f t="shared" si="2"/>
        <v>1.4396828005587967</v>
      </c>
      <c r="S45" s="12">
        <f t="shared" si="3"/>
        <v>1.5822992850686168</v>
      </c>
    </row>
    <row r="46" spans="1:19" x14ac:dyDescent="0.25">
      <c r="A46" s="15">
        <v>38198</v>
      </c>
      <c r="B46">
        <v>1.2019</v>
      </c>
      <c r="D46" s="15">
        <v>38198</v>
      </c>
      <c r="E46">
        <v>1.5396300000000001</v>
      </c>
      <c r="G46" s="15">
        <v>38198</v>
      </c>
      <c r="H46">
        <v>1.5945499999999999</v>
      </c>
      <c r="J46" s="15">
        <v>38198</v>
      </c>
      <c r="K46">
        <v>1.71225</v>
      </c>
      <c r="M46" s="15">
        <v>38198</v>
      </c>
      <c r="N46">
        <v>1.8889</v>
      </c>
      <c r="P46" s="12">
        <f t="shared" si="0"/>
        <v>1.2809967551376986</v>
      </c>
      <c r="Q46" s="12">
        <f t="shared" si="1"/>
        <v>1.3266910724685914</v>
      </c>
      <c r="R46" s="12">
        <f t="shared" si="2"/>
        <v>1.4246193526915718</v>
      </c>
      <c r="S46" s="12">
        <f t="shared" si="3"/>
        <v>1.5715949746235129</v>
      </c>
    </row>
    <row r="47" spans="1:19" x14ac:dyDescent="0.25">
      <c r="A47" s="15">
        <v>38230</v>
      </c>
      <c r="B47">
        <v>1.2184999999999999</v>
      </c>
      <c r="D47" s="15">
        <v>38230</v>
      </c>
      <c r="E47">
        <v>1.5416300000000001</v>
      </c>
      <c r="G47" s="15">
        <v>38230</v>
      </c>
      <c r="H47">
        <v>1.6020000000000001</v>
      </c>
      <c r="J47" s="15">
        <v>38230</v>
      </c>
      <c r="K47">
        <v>1.724</v>
      </c>
      <c r="M47" s="15">
        <v>38230</v>
      </c>
      <c r="N47">
        <v>1.8551</v>
      </c>
      <c r="P47" s="12">
        <f t="shared" si="0"/>
        <v>1.2651867049651211</v>
      </c>
      <c r="Q47" s="12">
        <f t="shared" si="1"/>
        <v>1.3147312269183424</v>
      </c>
      <c r="R47" s="12">
        <f t="shared" si="2"/>
        <v>1.4148543290931475</v>
      </c>
      <c r="S47" s="12">
        <f t="shared" si="3"/>
        <v>1.5224456298727944</v>
      </c>
    </row>
    <row r="48" spans="1:19" x14ac:dyDescent="0.25">
      <c r="A48" s="15">
        <v>38260</v>
      </c>
      <c r="B48">
        <v>1.2427999999999999</v>
      </c>
      <c r="D48" s="15">
        <v>38260</v>
      </c>
      <c r="E48">
        <v>1.5482800000000001</v>
      </c>
      <c r="G48" s="15">
        <v>38260</v>
      </c>
      <c r="H48">
        <v>1.5659000000000001</v>
      </c>
      <c r="J48" s="15">
        <v>38260</v>
      </c>
      <c r="K48">
        <v>1.70875</v>
      </c>
      <c r="M48" s="15">
        <v>38260</v>
      </c>
      <c r="N48">
        <v>1.8335999999999999</v>
      </c>
      <c r="P48" s="12">
        <f t="shared" si="0"/>
        <v>1.2457998068876732</v>
      </c>
      <c r="Q48" s="12">
        <f t="shared" si="1"/>
        <v>1.2599774702285165</v>
      </c>
      <c r="R48" s="12">
        <f t="shared" si="2"/>
        <v>1.3749195365304152</v>
      </c>
      <c r="S48" s="12">
        <f t="shared" si="3"/>
        <v>1.4753781783070485</v>
      </c>
    </row>
    <row r="49" spans="1:19" x14ac:dyDescent="0.25">
      <c r="A49" s="15">
        <v>38289</v>
      </c>
      <c r="B49">
        <v>1.2798</v>
      </c>
      <c r="D49" s="15">
        <v>38289</v>
      </c>
      <c r="E49">
        <v>1.5275000000000001</v>
      </c>
      <c r="G49" s="15">
        <v>38289</v>
      </c>
      <c r="H49">
        <v>1.5552699999999999</v>
      </c>
      <c r="J49" s="15">
        <v>38289</v>
      </c>
      <c r="K49">
        <v>1.7108000000000001</v>
      </c>
      <c r="M49" s="15">
        <v>38289</v>
      </c>
      <c r="N49">
        <v>1.8664000000000001</v>
      </c>
      <c r="P49" s="12">
        <f t="shared" si="0"/>
        <v>1.1935458665416472</v>
      </c>
      <c r="Q49" s="12">
        <f t="shared" si="1"/>
        <v>1.2152445694639786</v>
      </c>
      <c r="R49" s="12">
        <f t="shared" si="2"/>
        <v>1.3367713705266449</v>
      </c>
      <c r="S49" s="12">
        <f t="shared" si="3"/>
        <v>1.4583528676355682</v>
      </c>
    </row>
    <row r="50" spans="1:19" x14ac:dyDescent="0.25">
      <c r="A50" s="15">
        <v>38321</v>
      </c>
      <c r="B50">
        <v>1.3278000000000001</v>
      </c>
      <c r="D50" s="15">
        <v>38321</v>
      </c>
      <c r="E50">
        <v>1.5132000000000001</v>
      </c>
      <c r="G50" s="15">
        <v>38321</v>
      </c>
      <c r="H50">
        <v>1.57755</v>
      </c>
      <c r="J50" s="15">
        <v>38321</v>
      </c>
      <c r="K50">
        <v>1.72142</v>
      </c>
      <c r="M50" s="15">
        <v>38321</v>
      </c>
      <c r="N50">
        <v>1.8556999999999999</v>
      </c>
      <c r="P50" s="12">
        <f t="shared" si="0"/>
        <v>1.139629462268414</v>
      </c>
      <c r="Q50" s="12">
        <f t="shared" si="1"/>
        <v>1.1880930863081789</v>
      </c>
      <c r="R50" s="12">
        <f t="shared" si="2"/>
        <v>1.2964452477782797</v>
      </c>
      <c r="S50" s="12">
        <f t="shared" si="3"/>
        <v>1.3975749359843348</v>
      </c>
    </row>
    <row r="51" spans="1:19" x14ac:dyDescent="0.25">
      <c r="A51" s="15">
        <v>38352</v>
      </c>
      <c r="B51">
        <v>1.3553999999999999</v>
      </c>
      <c r="D51" s="15">
        <v>38352</v>
      </c>
      <c r="E51">
        <v>1.5459499999999999</v>
      </c>
      <c r="G51" s="15">
        <v>38352</v>
      </c>
      <c r="H51">
        <v>1.62965</v>
      </c>
      <c r="J51" s="15">
        <v>38352</v>
      </c>
      <c r="K51">
        <v>1.7316</v>
      </c>
      <c r="M51" s="15">
        <v>38352</v>
      </c>
      <c r="N51">
        <v>1.8835</v>
      </c>
      <c r="P51" s="12">
        <f t="shared" si="0"/>
        <v>1.1405858049284343</v>
      </c>
      <c r="Q51" s="12">
        <f t="shared" si="1"/>
        <v>1.2023387929762432</v>
      </c>
      <c r="R51" s="12">
        <f t="shared" si="2"/>
        <v>1.2775564409030544</v>
      </c>
      <c r="S51" s="12">
        <f t="shared" si="3"/>
        <v>1.3896266784713001</v>
      </c>
    </row>
    <row r="52" spans="1:19" x14ac:dyDescent="0.25">
      <c r="A52" s="15">
        <v>38383</v>
      </c>
      <c r="B52">
        <v>1.3046</v>
      </c>
      <c r="D52" s="15">
        <v>38383</v>
      </c>
      <c r="E52">
        <v>1.5496000000000001</v>
      </c>
      <c r="G52" s="15">
        <v>38383</v>
      </c>
      <c r="H52">
        <v>1.6163099999999999</v>
      </c>
      <c r="J52" s="15">
        <v>38383</v>
      </c>
      <c r="K52">
        <v>1.6828000000000001</v>
      </c>
      <c r="M52" s="15">
        <v>38383</v>
      </c>
      <c r="N52">
        <v>1.8352999999999999</v>
      </c>
      <c r="P52" s="12">
        <f t="shared" si="0"/>
        <v>1.1877970259083244</v>
      </c>
      <c r="Q52" s="12">
        <f t="shared" si="1"/>
        <v>1.2389314732485053</v>
      </c>
      <c r="R52" s="12">
        <f t="shared" si="2"/>
        <v>1.2898972865246052</v>
      </c>
      <c r="S52" s="12">
        <f t="shared" si="3"/>
        <v>1.4067913536716234</v>
      </c>
    </row>
    <row r="53" spans="1:19" x14ac:dyDescent="0.25">
      <c r="A53" s="15">
        <v>38411</v>
      </c>
      <c r="B53">
        <v>1.3253999999999999</v>
      </c>
      <c r="D53" s="15">
        <v>38411</v>
      </c>
      <c r="E53">
        <v>1.538</v>
      </c>
      <c r="G53" s="15">
        <v>38411</v>
      </c>
      <c r="H53">
        <v>1.6348</v>
      </c>
      <c r="J53" s="15">
        <v>38411</v>
      </c>
      <c r="K53">
        <v>1.6732199999999999</v>
      </c>
      <c r="M53" s="15">
        <v>38411</v>
      </c>
      <c r="N53">
        <v>1.8213999999999999</v>
      </c>
      <c r="P53" s="12">
        <f t="shared" si="0"/>
        <v>1.1604044062169911</v>
      </c>
      <c r="Q53" s="12">
        <f t="shared" si="1"/>
        <v>1.2334389618228461</v>
      </c>
      <c r="R53" s="12">
        <f t="shared" si="2"/>
        <v>1.2624264373019467</v>
      </c>
      <c r="S53" s="12">
        <f t="shared" si="3"/>
        <v>1.3742266485589256</v>
      </c>
    </row>
    <row r="54" spans="1:19" x14ac:dyDescent="0.25">
      <c r="A54" s="15">
        <v>38442</v>
      </c>
      <c r="B54">
        <v>1.2968</v>
      </c>
      <c r="D54" s="15">
        <v>38442</v>
      </c>
      <c r="E54">
        <v>1.5506500000000001</v>
      </c>
      <c r="G54" s="15">
        <v>38442</v>
      </c>
      <c r="H54">
        <v>1.56881</v>
      </c>
      <c r="J54" s="15">
        <v>38442</v>
      </c>
      <c r="K54">
        <v>1.6770499999999999</v>
      </c>
      <c r="M54" s="15">
        <v>38442</v>
      </c>
      <c r="N54">
        <v>1.8182</v>
      </c>
      <c r="P54" s="12">
        <f t="shared" si="0"/>
        <v>1.195751079580506</v>
      </c>
      <c r="Q54" s="12">
        <f t="shared" si="1"/>
        <v>1.2097547809993832</v>
      </c>
      <c r="R54" s="12">
        <f t="shared" si="2"/>
        <v>1.293221776681061</v>
      </c>
      <c r="S54" s="12">
        <f t="shared" si="3"/>
        <v>1.4020666255397902</v>
      </c>
    </row>
    <row r="55" spans="1:19" x14ac:dyDescent="0.25">
      <c r="A55" s="15">
        <v>38471</v>
      </c>
      <c r="B55">
        <v>1.2873000000000001</v>
      </c>
      <c r="D55" s="15">
        <v>38471</v>
      </c>
      <c r="E55">
        <v>1.5381</v>
      </c>
      <c r="G55" s="15">
        <v>38471</v>
      </c>
      <c r="H55">
        <v>1.62035</v>
      </c>
      <c r="J55" s="15">
        <v>38471</v>
      </c>
      <c r="K55">
        <v>1.64944</v>
      </c>
      <c r="M55" s="15">
        <v>38471</v>
      </c>
      <c r="N55">
        <v>1.7611000000000001</v>
      </c>
      <c r="P55" s="12">
        <f t="shared" si="0"/>
        <v>1.194826380797017</v>
      </c>
      <c r="Q55" s="12">
        <f t="shared" si="1"/>
        <v>1.2587198011341567</v>
      </c>
      <c r="R55" s="12">
        <f t="shared" si="2"/>
        <v>1.2813174862114503</v>
      </c>
      <c r="S55" s="12">
        <f t="shared" si="3"/>
        <v>1.3680571739299308</v>
      </c>
    </row>
    <row r="56" spans="1:19" x14ac:dyDescent="0.25">
      <c r="A56" s="15">
        <v>38503</v>
      </c>
      <c r="B56">
        <v>1.2338</v>
      </c>
      <c r="D56" s="15">
        <v>38503</v>
      </c>
      <c r="E56">
        <v>1.5364</v>
      </c>
      <c r="G56" s="15">
        <v>38503</v>
      </c>
      <c r="H56">
        <v>1.5458000000000001</v>
      </c>
      <c r="J56" s="15">
        <v>38503</v>
      </c>
      <c r="K56">
        <v>1.6303399999999999</v>
      </c>
      <c r="M56" s="15">
        <v>38503</v>
      </c>
      <c r="N56">
        <v>1.7493000000000001</v>
      </c>
      <c r="P56" s="12">
        <f t="shared" si="0"/>
        <v>1.2452585508186091</v>
      </c>
      <c r="Q56" s="12">
        <f t="shared" si="1"/>
        <v>1.2528772896741773</v>
      </c>
      <c r="R56" s="12">
        <f t="shared" si="2"/>
        <v>1.3213973091262765</v>
      </c>
      <c r="S56" s="12">
        <f t="shared" si="3"/>
        <v>1.4178148808558924</v>
      </c>
    </row>
    <row r="57" spans="1:19" x14ac:dyDescent="0.25">
      <c r="A57" s="15">
        <v>38533</v>
      </c>
      <c r="B57">
        <v>1.2094</v>
      </c>
      <c r="D57" s="15">
        <v>38533</v>
      </c>
      <c r="E57">
        <v>1.5521100000000001</v>
      </c>
      <c r="G57" s="15">
        <v>38533</v>
      </c>
      <c r="H57">
        <v>1.4840100000000001</v>
      </c>
      <c r="J57" s="15">
        <v>38533</v>
      </c>
      <c r="K57">
        <v>1.5874200000000001</v>
      </c>
      <c r="M57" s="15">
        <v>38533</v>
      </c>
      <c r="N57">
        <v>1.7379</v>
      </c>
      <c r="P57" s="12">
        <f t="shared" si="0"/>
        <v>1.2833719199603109</v>
      </c>
      <c r="Q57" s="12">
        <f t="shared" si="1"/>
        <v>1.2270630064494792</v>
      </c>
      <c r="R57" s="12">
        <f t="shared" si="2"/>
        <v>1.312568215644121</v>
      </c>
      <c r="S57" s="12">
        <f t="shared" si="3"/>
        <v>1.4369935505209195</v>
      </c>
    </row>
    <row r="58" spans="1:19" x14ac:dyDescent="0.25">
      <c r="A58" s="15">
        <v>38562</v>
      </c>
      <c r="B58">
        <v>1.2122999999999999</v>
      </c>
      <c r="D58" s="15">
        <v>38562</v>
      </c>
      <c r="E58">
        <v>1.5622499999999999</v>
      </c>
      <c r="G58" s="15">
        <v>38562</v>
      </c>
      <c r="H58">
        <v>1.4830000000000001</v>
      </c>
      <c r="J58" s="15">
        <v>38562</v>
      </c>
      <c r="K58">
        <v>1.5991500000000001</v>
      </c>
      <c r="M58" s="15">
        <v>38562</v>
      </c>
      <c r="N58">
        <v>1.7773000000000001</v>
      </c>
      <c r="P58" s="12">
        <f t="shared" si="0"/>
        <v>1.2886661717396684</v>
      </c>
      <c r="Q58" s="12">
        <f t="shared" si="1"/>
        <v>1.2232945640518025</v>
      </c>
      <c r="R58" s="12">
        <f t="shared" si="2"/>
        <v>1.3191041821331355</v>
      </c>
      <c r="S58" s="12">
        <f t="shared" si="3"/>
        <v>1.4660562567021367</v>
      </c>
    </row>
    <row r="59" spans="1:19" x14ac:dyDescent="0.25">
      <c r="A59" s="15">
        <v>38595</v>
      </c>
      <c r="B59">
        <v>1.2333000000000001</v>
      </c>
      <c r="D59" s="15">
        <v>38595</v>
      </c>
      <c r="E59">
        <v>1.5472999999999999</v>
      </c>
      <c r="G59" s="15">
        <v>38595</v>
      </c>
      <c r="H59">
        <v>1.4613</v>
      </c>
      <c r="J59" s="15">
        <v>38595</v>
      </c>
      <c r="K59">
        <v>1.6375999999999999</v>
      </c>
      <c r="M59" s="15">
        <v>38595</v>
      </c>
      <c r="N59">
        <v>1.7797000000000001</v>
      </c>
      <c r="P59" s="12">
        <f t="shared" si="0"/>
        <v>1.2546014757155597</v>
      </c>
      <c r="Q59" s="12">
        <f t="shared" si="1"/>
        <v>1.1848698613476039</v>
      </c>
      <c r="R59" s="12">
        <f t="shared" si="2"/>
        <v>1.3278196708019134</v>
      </c>
      <c r="S59" s="12">
        <f t="shared" si="3"/>
        <v>1.4430390010540826</v>
      </c>
    </row>
    <row r="60" spans="1:19" x14ac:dyDescent="0.25">
      <c r="A60" s="15">
        <v>38625</v>
      </c>
      <c r="B60">
        <v>1.2025999999999999</v>
      </c>
      <c r="D60" s="15">
        <v>38625</v>
      </c>
      <c r="E60">
        <v>1.5548999999999999</v>
      </c>
      <c r="G60" s="15">
        <v>38625</v>
      </c>
      <c r="H60">
        <v>1.39682</v>
      </c>
      <c r="J60" s="15">
        <v>38625</v>
      </c>
      <c r="K60">
        <v>1.5749500000000001</v>
      </c>
      <c r="M60" s="15">
        <v>38625</v>
      </c>
      <c r="N60">
        <v>1.7361</v>
      </c>
      <c r="P60" s="12">
        <f t="shared" si="0"/>
        <v>1.2929486113420923</v>
      </c>
      <c r="Q60" s="12">
        <f t="shared" si="1"/>
        <v>1.1615000831531681</v>
      </c>
      <c r="R60" s="12">
        <f t="shared" si="2"/>
        <v>1.3096208215533014</v>
      </c>
      <c r="S60" s="12">
        <f t="shared" si="3"/>
        <v>1.4436221520039914</v>
      </c>
    </row>
    <row r="61" spans="1:19" x14ac:dyDescent="0.25">
      <c r="A61" s="15">
        <v>38656</v>
      </c>
      <c r="B61">
        <v>1.1986000000000001</v>
      </c>
      <c r="D61" s="15">
        <v>38656</v>
      </c>
      <c r="E61">
        <v>1.5468</v>
      </c>
      <c r="G61" s="15">
        <v>38656</v>
      </c>
      <c r="H61">
        <v>1.4173</v>
      </c>
      <c r="J61" s="15">
        <v>38656</v>
      </c>
      <c r="K61">
        <v>1.6045400000000001</v>
      </c>
      <c r="M61" s="15">
        <v>38656</v>
      </c>
      <c r="N61">
        <v>1.7139</v>
      </c>
      <c r="P61" s="12">
        <f t="shared" si="0"/>
        <v>1.2905055898548305</v>
      </c>
      <c r="Q61" s="12">
        <f t="shared" si="1"/>
        <v>1.1824628733522442</v>
      </c>
      <c r="R61" s="12">
        <f t="shared" si="2"/>
        <v>1.3386784582012348</v>
      </c>
      <c r="S61" s="12">
        <f t="shared" si="3"/>
        <v>1.4299182379442681</v>
      </c>
    </row>
    <row r="62" spans="1:19" x14ac:dyDescent="0.25">
      <c r="A62" s="15">
        <v>38686</v>
      </c>
      <c r="B62">
        <v>1.1787000000000001</v>
      </c>
      <c r="D62" s="15">
        <v>38686</v>
      </c>
      <c r="E62">
        <v>1.5498000000000001</v>
      </c>
      <c r="G62" s="15">
        <v>38686</v>
      </c>
      <c r="H62">
        <v>1.37599</v>
      </c>
      <c r="J62" s="15">
        <v>38686</v>
      </c>
      <c r="K62">
        <v>1.59459</v>
      </c>
      <c r="M62" s="15">
        <v>38686</v>
      </c>
      <c r="N62">
        <v>1.6771</v>
      </c>
      <c r="P62" s="12">
        <f t="shared" si="0"/>
        <v>1.314838381267498</v>
      </c>
      <c r="Q62" s="12">
        <f t="shared" si="1"/>
        <v>1.1673793161958088</v>
      </c>
      <c r="R62" s="12">
        <f t="shared" si="2"/>
        <v>1.3528378722321199</v>
      </c>
      <c r="S62" s="12">
        <f t="shared" si="3"/>
        <v>1.4228387206244166</v>
      </c>
    </row>
    <row r="63" spans="1:19" x14ac:dyDescent="0.25">
      <c r="A63" s="15">
        <v>38716</v>
      </c>
      <c r="B63">
        <v>1.1849000000000001</v>
      </c>
      <c r="D63" s="15">
        <v>38716</v>
      </c>
      <c r="E63">
        <v>1.5563499999999999</v>
      </c>
      <c r="G63" s="15">
        <v>38716</v>
      </c>
      <c r="H63">
        <v>1.3753500000000001</v>
      </c>
      <c r="J63" s="15">
        <v>38716</v>
      </c>
      <c r="K63">
        <v>1.613</v>
      </c>
      <c r="M63" s="15">
        <v>38716</v>
      </c>
      <c r="N63">
        <v>1.738</v>
      </c>
      <c r="P63" s="12">
        <f t="shared" si="0"/>
        <v>1.313486370157819</v>
      </c>
      <c r="Q63" s="12">
        <f t="shared" si="1"/>
        <v>1.160730863363997</v>
      </c>
      <c r="R63" s="12">
        <f t="shared" si="2"/>
        <v>1.361296311925057</v>
      </c>
      <c r="S63" s="12">
        <f t="shared" si="3"/>
        <v>1.4667904464511772</v>
      </c>
    </row>
    <row r="64" spans="1:19" x14ac:dyDescent="0.25">
      <c r="A64" s="15">
        <v>38748</v>
      </c>
      <c r="B64">
        <v>1.2173</v>
      </c>
      <c r="D64" s="15">
        <v>38748</v>
      </c>
      <c r="E64">
        <v>1.55318</v>
      </c>
      <c r="G64" s="15">
        <v>38748</v>
      </c>
      <c r="H64">
        <v>1.39144</v>
      </c>
      <c r="J64" s="15">
        <v>38748</v>
      </c>
      <c r="K64">
        <v>1.6077399999999999</v>
      </c>
      <c r="M64" s="15">
        <v>38748</v>
      </c>
      <c r="N64">
        <v>1.7764</v>
      </c>
      <c r="P64" s="12">
        <f t="shared" si="0"/>
        <v>1.2759221227306332</v>
      </c>
      <c r="Q64" s="12">
        <f t="shared" si="1"/>
        <v>1.1430543005011089</v>
      </c>
      <c r="R64" s="12">
        <f t="shared" si="2"/>
        <v>1.3207426271256058</v>
      </c>
      <c r="S64" s="12">
        <f t="shared" si="3"/>
        <v>1.4592951614228209</v>
      </c>
    </row>
    <row r="65" spans="1:19" x14ac:dyDescent="0.25">
      <c r="A65" s="15">
        <v>38776</v>
      </c>
      <c r="B65">
        <v>1.1922999999999999</v>
      </c>
      <c r="D65" s="15">
        <v>38776</v>
      </c>
      <c r="E65">
        <v>1.56365</v>
      </c>
      <c r="G65" s="15">
        <v>38776</v>
      </c>
      <c r="H65">
        <v>1.35642</v>
      </c>
      <c r="J65" s="15">
        <v>38776</v>
      </c>
      <c r="K65">
        <v>1.6042799999999999</v>
      </c>
      <c r="M65" s="15">
        <v>38776</v>
      </c>
      <c r="N65">
        <v>1.7987</v>
      </c>
      <c r="P65" s="12">
        <f t="shared" si="0"/>
        <v>1.3114568481086974</v>
      </c>
      <c r="Q65" s="12">
        <f t="shared" si="1"/>
        <v>1.1376499203220667</v>
      </c>
      <c r="R65" s="12">
        <f t="shared" si="2"/>
        <v>1.3455338421538203</v>
      </c>
      <c r="S65" s="12">
        <f t="shared" si="3"/>
        <v>1.5085968296569656</v>
      </c>
    </row>
    <row r="66" spans="1:19" x14ac:dyDescent="0.25">
      <c r="A66" s="15">
        <v>38807</v>
      </c>
      <c r="B66">
        <v>1.2118</v>
      </c>
      <c r="D66" s="15">
        <v>38807</v>
      </c>
      <c r="E66">
        <v>1.5813999999999999</v>
      </c>
      <c r="G66" s="15">
        <v>38807</v>
      </c>
      <c r="H66">
        <v>1.4166000000000001</v>
      </c>
      <c r="J66" s="15">
        <v>38807</v>
      </c>
      <c r="K66">
        <v>1.69455</v>
      </c>
      <c r="M66" s="15">
        <v>38807</v>
      </c>
      <c r="N66">
        <v>1.9694</v>
      </c>
      <c r="P66" s="12">
        <f t="shared" si="0"/>
        <v>1.3050008252186829</v>
      </c>
      <c r="Q66" s="12">
        <f t="shared" si="1"/>
        <v>1.1690047862683612</v>
      </c>
      <c r="R66" s="12">
        <f t="shared" si="2"/>
        <v>1.3983743191945865</v>
      </c>
      <c r="S66" s="12">
        <f t="shared" si="3"/>
        <v>1.6251856742036641</v>
      </c>
    </row>
    <row r="67" spans="1:19" x14ac:dyDescent="0.25">
      <c r="A67" s="15">
        <v>38835</v>
      </c>
      <c r="B67">
        <v>1.2635000000000001</v>
      </c>
      <c r="D67" s="15">
        <v>38835</v>
      </c>
      <c r="E67">
        <v>1.56667</v>
      </c>
      <c r="G67" s="15">
        <v>38835</v>
      </c>
      <c r="H67">
        <v>1.4121999999999999</v>
      </c>
      <c r="J67" s="15">
        <v>38835</v>
      </c>
      <c r="K67">
        <v>1.6613</v>
      </c>
      <c r="M67" s="15">
        <v>38835</v>
      </c>
      <c r="N67">
        <v>1.9829000000000001</v>
      </c>
      <c r="P67" s="12">
        <f t="shared" si="0"/>
        <v>1.23994459833795</v>
      </c>
      <c r="Q67" s="12">
        <f t="shared" si="1"/>
        <v>1.1176889592402057</v>
      </c>
      <c r="R67" s="12">
        <f t="shared" si="2"/>
        <v>1.3148397309062128</v>
      </c>
      <c r="S67" s="12">
        <f t="shared" si="3"/>
        <v>1.5693707954095766</v>
      </c>
    </row>
    <row r="68" spans="1:19" x14ac:dyDescent="0.25">
      <c r="A68" s="15">
        <v>38868</v>
      </c>
      <c r="B68">
        <v>1.2828999999999999</v>
      </c>
      <c r="D68" s="15">
        <v>38868</v>
      </c>
      <c r="E68">
        <v>1.5608900000000001</v>
      </c>
      <c r="G68" s="15">
        <v>38868</v>
      </c>
      <c r="H68">
        <v>1.41455</v>
      </c>
      <c r="J68" s="15">
        <v>38868</v>
      </c>
      <c r="K68">
        <v>1.70475</v>
      </c>
      <c r="M68" s="15">
        <v>38868</v>
      </c>
      <c r="N68">
        <v>2.0137999999999998</v>
      </c>
      <c r="P68" s="12">
        <f t="shared" ref="P68:P131" si="4">IF(OR($A68="",$B68="",$B68=0),"",IFERROR(INDEX(E$4:E$311,MATCH($A68,D$4:D$311,0))/$B68,""))</f>
        <v>1.2166887520461456</v>
      </c>
      <c r="Q68" s="12">
        <f t="shared" ref="Q68:Q131" si="5">IF(OR($A68="",$B68="",$B68=0),"",IFERROR(INDEX(H$4:H$311,MATCH($A68,G$4:G$311,0))/$B68,""))</f>
        <v>1.1026190661781901</v>
      </c>
      <c r="R68" s="12">
        <f t="shared" ref="R68:R131" si="6">IF(OR($A68="",$B68="",$B68=0),"",IFERROR(INDEX(K$4:K$311,MATCH($A68,J$4:J$311,0))/$B68,""))</f>
        <v>1.3288253176397227</v>
      </c>
      <c r="S68" s="12">
        <f t="shared" ref="S68:S131" si="7">IF(OR($A68="",$B68="",$B68=0),"",IFERROR(INDEX(N$4:N$311,MATCH($A68,M$4:M$311,0))/$B68,""))</f>
        <v>1.5697248421544936</v>
      </c>
    </row>
    <row r="69" spans="1:19" x14ac:dyDescent="0.25">
      <c r="A69" s="15">
        <v>38898</v>
      </c>
      <c r="B69">
        <v>1.2790999999999999</v>
      </c>
      <c r="D69" s="15">
        <v>38898</v>
      </c>
      <c r="E69">
        <v>1.56535</v>
      </c>
      <c r="G69" s="15">
        <v>38898</v>
      </c>
      <c r="H69">
        <v>1.4241999999999999</v>
      </c>
      <c r="J69" s="15">
        <v>38898</v>
      </c>
      <c r="K69">
        <v>1.7223999999999999</v>
      </c>
      <c r="M69" s="15">
        <v>38898</v>
      </c>
      <c r="N69">
        <v>2.0988000000000002</v>
      </c>
      <c r="P69" s="12">
        <f t="shared" si="4"/>
        <v>1.2237901649597374</v>
      </c>
      <c r="Q69" s="12">
        <f t="shared" si="5"/>
        <v>1.113439136893128</v>
      </c>
      <c r="R69" s="12">
        <f t="shared" si="6"/>
        <v>1.3465718083027129</v>
      </c>
      <c r="S69" s="12">
        <f t="shared" si="7"/>
        <v>1.6408412164803381</v>
      </c>
    </row>
    <row r="70" spans="1:19" x14ac:dyDescent="0.25">
      <c r="A70" s="15">
        <v>38929</v>
      </c>
      <c r="B70">
        <v>1.2766</v>
      </c>
      <c r="D70" s="15">
        <v>38929</v>
      </c>
      <c r="E70">
        <v>1.5720499999999999</v>
      </c>
      <c r="G70" s="15">
        <v>38929</v>
      </c>
      <c r="H70">
        <v>1.4443900000000001</v>
      </c>
      <c r="J70" s="15">
        <v>38929</v>
      </c>
      <c r="K70">
        <v>1.6663399999999999</v>
      </c>
      <c r="M70" s="15">
        <v>38929</v>
      </c>
      <c r="N70">
        <v>2.0709</v>
      </c>
      <c r="P70" s="12">
        <f t="shared" si="4"/>
        <v>1.2314350618831271</v>
      </c>
      <c r="Q70" s="12">
        <f t="shared" si="5"/>
        <v>1.131435061883127</v>
      </c>
      <c r="R70" s="12">
        <f t="shared" si="6"/>
        <v>1.3052953156822811</v>
      </c>
      <c r="S70" s="12">
        <f t="shared" si="7"/>
        <v>1.6221995926680244</v>
      </c>
    </row>
    <row r="71" spans="1:19" x14ac:dyDescent="0.25">
      <c r="A71" s="15">
        <v>38960</v>
      </c>
      <c r="B71">
        <v>1.2795000000000001</v>
      </c>
      <c r="D71" s="15">
        <v>38960</v>
      </c>
      <c r="E71">
        <v>1.57795</v>
      </c>
      <c r="G71" s="15">
        <v>38960</v>
      </c>
      <c r="H71">
        <v>1.4164000000000001</v>
      </c>
      <c r="J71" s="15">
        <v>38960</v>
      </c>
      <c r="K71">
        <v>1.6787000000000001</v>
      </c>
      <c r="M71" s="15">
        <v>38960</v>
      </c>
      <c r="N71">
        <v>1.9499</v>
      </c>
      <c r="P71" s="12">
        <f t="shared" si="4"/>
        <v>1.2332551778038294</v>
      </c>
      <c r="Q71" s="12">
        <f t="shared" si="5"/>
        <v>1.1069949198905822</v>
      </c>
      <c r="R71" s="12">
        <f t="shared" si="6"/>
        <v>1.3119968737788199</v>
      </c>
      <c r="S71" s="12">
        <f t="shared" si="7"/>
        <v>1.5239546697928876</v>
      </c>
    </row>
    <row r="72" spans="1:19" x14ac:dyDescent="0.25">
      <c r="A72" s="15">
        <v>38989</v>
      </c>
      <c r="B72">
        <v>1.2674000000000001</v>
      </c>
      <c r="D72" s="15">
        <v>38989</v>
      </c>
      <c r="E72">
        <v>1.58612</v>
      </c>
      <c r="G72" s="15">
        <v>38989</v>
      </c>
      <c r="H72">
        <v>1.4165399999999999</v>
      </c>
      <c r="J72" s="15">
        <v>38989</v>
      </c>
      <c r="K72">
        <v>1.6994499999999999</v>
      </c>
      <c r="M72" s="15">
        <v>38989</v>
      </c>
      <c r="N72">
        <v>1.9415</v>
      </c>
      <c r="P72" s="12">
        <f t="shared" si="4"/>
        <v>1.2514754615748775</v>
      </c>
      <c r="Q72" s="12">
        <f t="shared" si="5"/>
        <v>1.1176739782231337</v>
      </c>
      <c r="R72" s="12">
        <f t="shared" si="6"/>
        <v>1.3408947451475459</v>
      </c>
      <c r="S72" s="12">
        <f t="shared" si="7"/>
        <v>1.5318762821524379</v>
      </c>
    </row>
    <row r="73" spans="1:19" x14ac:dyDescent="0.25">
      <c r="A73" s="15">
        <v>39021</v>
      </c>
      <c r="B73">
        <v>1.2769999999999999</v>
      </c>
      <c r="D73" s="15">
        <v>39021</v>
      </c>
      <c r="E73">
        <v>1.5863499999999999</v>
      </c>
      <c r="G73" s="15">
        <v>39021</v>
      </c>
      <c r="H73">
        <v>1.43275</v>
      </c>
      <c r="J73" s="15">
        <v>39021</v>
      </c>
      <c r="K73">
        <v>1.6476500000000001</v>
      </c>
      <c r="M73" s="15">
        <v>39021</v>
      </c>
      <c r="N73">
        <v>1.9044000000000001</v>
      </c>
      <c r="P73" s="12">
        <f t="shared" si="4"/>
        <v>1.2422474549725921</v>
      </c>
      <c r="Q73" s="12">
        <f t="shared" si="5"/>
        <v>1.1219655442443226</v>
      </c>
      <c r="R73" s="12">
        <f t="shared" si="6"/>
        <v>1.2902505873140173</v>
      </c>
      <c r="S73" s="12">
        <f t="shared" si="7"/>
        <v>1.4913077525450276</v>
      </c>
    </row>
    <row r="74" spans="1:19" x14ac:dyDescent="0.25">
      <c r="A74" s="15">
        <v>39051</v>
      </c>
      <c r="B74">
        <v>1.3254999999999999</v>
      </c>
      <c r="D74" s="15">
        <v>39051</v>
      </c>
      <c r="E74">
        <v>1.5871999999999999</v>
      </c>
      <c r="G74" s="15">
        <v>39051</v>
      </c>
      <c r="H74">
        <v>1.51285</v>
      </c>
      <c r="J74" s="15">
        <v>39051</v>
      </c>
      <c r="K74">
        <v>1.68038</v>
      </c>
      <c r="M74" s="15">
        <v>39051</v>
      </c>
      <c r="N74">
        <v>1.9355</v>
      </c>
      <c r="P74" s="12">
        <f t="shared" si="4"/>
        <v>1.1974349302150133</v>
      </c>
      <c r="Q74" s="12">
        <f t="shared" si="5"/>
        <v>1.1413428894756696</v>
      </c>
      <c r="R74" s="12">
        <f t="shared" si="6"/>
        <v>1.2677329309694456</v>
      </c>
      <c r="S74" s="12">
        <f t="shared" si="7"/>
        <v>1.4602036967182197</v>
      </c>
    </row>
    <row r="75" spans="1:19" x14ac:dyDescent="0.25">
      <c r="A75" s="15">
        <v>39080</v>
      </c>
      <c r="B75">
        <v>1.3197000000000001</v>
      </c>
      <c r="D75" s="15">
        <v>39080</v>
      </c>
      <c r="E75">
        <v>1.6090500000000001</v>
      </c>
      <c r="G75" s="15">
        <v>39080</v>
      </c>
      <c r="H75">
        <v>1.5371999999999999</v>
      </c>
      <c r="J75" s="15">
        <v>39080</v>
      </c>
      <c r="K75">
        <v>1.673</v>
      </c>
      <c r="M75" s="15">
        <v>39080</v>
      </c>
      <c r="N75">
        <v>1.8743000000000001</v>
      </c>
      <c r="P75" s="12">
        <f t="shared" si="4"/>
        <v>1.2192543759945442</v>
      </c>
      <c r="Q75" s="12">
        <f t="shared" si="5"/>
        <v>1.1648101841327574</v>
      </c>
      <c r="R75" s="12">
        <f t="shared" si="6"/>
        <v>1.2677123588694399</v>
      </c>
      <c r="S75" s="12">
        <f t="shared" si="7"/>
        <v>1.4202470258392059</v>
      </c>
    </row>
    <row r="76" spans="1:19" x14ac:dyDescent="0.25">
      <c r="A76" s="15">
        <v>39113</v>
      </c>
      <c r="B76">
        <v>1.3008999999999999</v>
      </c>
      <c r="D76" s="15">
        <v>39113</v>
      </c>
      <c r="E76">
        <v>1.6208499999999999</v>
      </c>
      <c r="G76" s="15">
        <v>39113</v>
      </c>
      <c r="H76">
        <v>1.5343599999999999</v>
      </c>
      <c r="J76" s="15">
        <v>39113</v>
      </c>
      <c r="K76">
        <v>1.6809499999999999</v>
      </c>
      <c r="M76" s="15">
        <v>39113</v>
      </c>
      <c r="N76">
        <v>1.8960999999999999</v>
      </c>
      <c r="P76" s="12">
        <f t="shared" si="4"/>
        <v>1.2459451149204397</v>
      </c>
      <c r="Q76" s="12">
        <f t="shared" si="5"/>
        <v>1.1794603735875164</v>
      </c>
      <c r="R76" s="12">
        <f t="shared" si="6"/>
        <v>1.2921439003766624</v>
      </c>
      <c r="S76" s="12">
        <f t="shared" si="7"/>
        <v>1.4575294027211929</v>
      </c>
    </row>
    <row r="77" spans="1:19" x14ac:dyDescent="0.25">
      <c r="A77" s="15">
        <v>39141</v>
      </c>
      <c r="B77">
        <v>1.3228</v>
      </c>
      <c r="D77" s="15">
        <v>39141</v>
      </c>
      <c r="E77">
        <v>1.61233</v>
      </c>
      <c r="G77" s="15">
        <v>39141</v>
      </c>
      <c r="H77">
        <v>1.5482</v>
      </c>
      <c r="J77" s="15">
        <v>39141</v>
      </c>
      <c r="K77">
        <v>1.6765699999999999</v>
      </c>
      <c r="M77" s="15">
        <v>39141</v>
      </c>
      <c r="N77">
        <v>1.8862000000000001</v>
      </c>
      <c r="P77" s="12">
        <f t="shared" si="4"/>
        <v>1.2188766253401875</v>
      </c>
      <c r="Q77" s="12">
        <f t="shared" si="5"/>
        <v>1.1703961294224372</v>
      </c>
      <c r="R77" s="12">
        <f t="shared" si="6"/>
        <v>1.2674402781977623</v>
      </c>
      <c r="S77" s="12">
        <f t="shared" si="7"/>
        <v>1.4259147263380709</v>
      </c>
    </row>
    <row r="78" spans="1:19" x14ac:dyDescent="0.25">
      <c r="A78" s="15">
        <v>39171</v>
      </c>
      <c r="B78">
        <v>1.3354999999999999</v>
      </c>
      <c r="D78" s="15">
        <v>39171</v>
      </c>
      <c r="E78">
        <v>1.62147</v>
      </c>
      <c r="G78" s="15">
        <v>39171</v>
      </c>
      <c r="H78">
        <v>1.5421400000000001</v>
      </c>
      <c r="J78" s="15">
        <v>39171</v>
      </c>
      <c r="K78">
        <v>1.64981</v>
      </c>
      <c r="M78" s="15">
        <v>39171</v>
      </c>
      <c r="N78">
        <v>1.8680000000000001</v>
      </c>
      <c r="P78" s="12">
        <f t="shared" si="4"/>
        <v>1.2141295394983154</v>
      </c>
      <c r="Q78" s="12">
        <f t="shared" si="5"/>
        <v>1.1547285660801199</v>
      </c>
      <c r="R78" s="12">
        <f t="shared" si="6"/>
        <v>1.235350056158742</v>
      </c>
      <c r="S78" s="12">
        <f t="shared" si="7"/>
        <v>1.3987270685136655</v>
      </c>
    </row>
    <row r="79" spans="1:19" x14ac:dyDescent="0.25">
      <c r="A79" s="15">
        <v>39202</v>
      </c>
      <c r="B79">
        <v>1.3668</v>
      </c>
      <c r="D79" s="15">
        <v>39202</v>
      </c>
      <c r="E79">
        <v>1.64795</v>
      </c>
      <c r="G79" s="15">
        <v>39202</v>
      </c>
      <c r="H79">
        <v>1.5134099999999999</v>
      </c>
      <c r="J79" s="15">
        <v>39202</v>
      </c>
      <c r="K79">
        <v>1.64266</v>
      </c>
      <c r="M79" s="15">
        <v>39202</v>
      </c>
      <c r="N79">
        <v>1.8422000000000001</v>
      </c>
      <c r="P79" s="12">
        <f t="shared" si="4"/>
        <v>1.2056994439566873</v>
      </c>
      <c r="Q79" s="12">
        <f t="shared" si="5"/>
        <v>1.1072651448639157</v>
      </c>
      <c r="R79" s="12">
        <f t="shared" si="6"/>
        <v>1.2018290898448931</v>
      </c>
      <c r="S79" s="12">
        <f t="shared" si="7"/>
        <v>1.3478197249048873</v>
      </c>
    </row>
    <row r="80" spans="1:19" x14ac:dyDescent="0.25">
      <c r="A80" s="15">
        <v>39233</v>
      </c>
      <c r="B80">
        <v>1.3447</v>
      </c>
      <c r="D80" s="15">
        <v>39233</v>
      </c>
      <c r="E80">
        <v>1.64832</v>
      </c>
      <c r="G80" s="15">
        <v>39233</v>
      </c>
      <c r="H80">
        <v>1.4389000000000001</v>
      </c>
      <c r="J80" s="15">
        <v>39233</v>
      </c>
      <c r="K80">
        <v>1.6268400000000001</v>
      </c>
      <c r="M80" s="15">
        <v>39233</v>
      </c>
      <c r="N80">
        <v>1.8266</v>
      </c>
      <c r="P80" s="12">
        <f t="shared" si="4"/>
        <v>1.2257901390644754</v>
      </c>
      <c r="Q80" s="12">
        <f t="shared" si="5"/>
        <v>1.0700527998810143</v>
      </c>
      <c r="R80" s="12">
        <f t="shared" si="6"/>
        <v>1.2098163159068938</v>
      </c>
      <c r="S80" s="12">
        <f t="shared" si="7"/>
        <v>1.3583698966312188</v>
      </c>
    </row>
    <row r="81" spans="1:19" x14ac:dyDescent="0.25">
      <c r="A81" s="15">
        <v>39262</v>
      </c>
      <c r="B81">
        <v>1.3541000000000001</v>
      </c>
      <c r="D81" s="15">
        <v>39262</v>
      </c>
      <c r="E81">
        <v>1.65385</v>
      </c>
      <c r="G81" s="15">
        <v>39262</v>
      </c>
      <c r="H81">
        <v>1.4363699999999999</v>
      </c>
      <c r="J81" s="15">
        <v>39262</v>
      </c>
      <c r="K81">
        <v>1.59246</v>
      </c>
      <c r="M81" s="15">
        <v>39262</v>
      </c>
      <c r="N81">
        <v>1.7527999999999999</v>
      </c>
      <c r="P81" s="12">
        <f t="shared" si="4"/>
        <v>1.2213647441104794</v>
      </c>
      <c r="Q81" s="12">
        <f t="shared" si="5"/>
        <v>1.0607562218447677</v>
      </c>
      <c r="R81" s="12">
        <f t="shared" si="6"/>
        <v>1.1760283583191786</v>
      </c>
      <c r="S81" s="12">
        <f t="shared" si="7"/>
        <v>1.294439110848534</v>
      </c>
    </row>
    <row r="82" spans="1:19" x14ac:dyDescent="0.25">
      <c r="A82" s="15">
        <v>39294</v>
      </c>
      <c r="B82">
        <v>1.3693</v>
      </c>
      <c r="D82" s="15">
        <v>39294</v>
      </c>
      <c r="E82">
        <v>1.6479299999999999</v>
      </c>
      <c r="G82" s="15">
        <v>39294</v>
      </c>
      <c r="H82">
        <v>1.45692</v>
      </c>
      <c r="J82" s="15">
        <v>39294</v>
      </c>
      <c r="K82">
        <v>1.5945</v>
      </c>
      <c r="M82" s="15">
        <v>39294</v>
      </c>
      <c r="N82">
        <v>1.7764</v>
      </c>
      <c r="P82" s="12">
        <f t="shared" si="4"/>
        <v>1.2034835317315415</v>
      </c>
      <c r="Q82" s="12">
        <f t="shared" si="5"/>
        <v>1.0639888994376689</v>
      </c>
      <c r="R82" s="12">
        <f t="shared" si="6"/>
        <v>1.1644635945373549</v>
      </c>
      <c r="S82" s="12">
        <f t="shared" si="7"/>
        <v>1.2973051924340904</v>
      </c>
    </row>
    <row r="83" spans="1:19" x14ac:dyDescent="0.25">
      <c r="A83" s="15">
        <v>39325</v>
      </c>
      <c r="B83">
        <v>1.363</v>
      </c>
      <c r="D83" s="15">
        <v>39325</v>
      </c>
      <c r="E83">
        <v>1.6457999999999999</v>
      </c>
      <c r="G83" s="15">
        <v>39325</v>
      </c>
      <c r="H83">
        <v>1.4382600000000001</v>
      </c>
      <c r="J83" s="15">
        <v>39325</v>
      </c>
      <c r="K83">
        <v>1.67079</v>
      </c>
      <c r="M83" s="15">
        <v>39325</v>
      </c>
      <c r="N83">
        <v>1.95</v>
      </c>
      <c r="P83" s="12">
        <f t="shared" si="4"/>
        <v>1.2074834922964048</v>
      </c>
      <c r="Q83" s="12">
        <f t="shared" si="5"/>
        <v>1.0552164343360235</v>
      </c>
      <c r="R83" s="12">
        <f t="shared" si="6"/>
        <v>1.2258180484225971</v>
      </c>
      <c r="S83" s="12">
        <f t="shared" si="7"/>
        <v>1.4306676449009537</v>
      </c>
    </row>
    <row r="84" spans="1:19" x14ac:dyDescent="0.25">
      <c r="A84" s="15">
        <v>39353</v>
      </c>
      <c r="B84">
        <v>1.4267000000000001</v>
      </c>
      <c r="D84" s="15">
        <v>39353</v>
      </c>
      <c r="E84">
        <v>1.66025</v>
      </c>
      <c r="G84" s="15">
        <v>39353</v>
      </c>
      <c r="H84">
        <v>1.4177</v>
      </c>
      <c r="J84" s="15">
        <v>39353</v>
      </c>
      <c r="K84">
        <v>1.6069899999999999</v>
      </c>
      <c r="M84" s="15">
        <v>39353</v>
      </c>
      <c r="N84">
        <v>1.8816999999999999</v>
      </c>
      <c r="P84" s="12">
        <f t="shared" si="4"/>
        <v>1.1636994462746197</v>
      </c>
      <c r="Q84" s="12">
        <f t="shared" si="5"/>
        <v>0.99369173617438833</v>
      </c>
      <c r="R84" s="12">
        <f t="shared" si="6"/>
        <v>1.1263685427910561</v>
      </c>
      <c r="S84" s="12">
        <f t="shared" si="7"/>
        <v>1.3189177822948062</v>
      </c>
    </row>
    <row r="85" spans="1:19" x14ac:dyDescent="0.25">
      <c r="A85" s="15">
        <v>39386</v>
      </c>
      <c r="B85">
        <v>1.4464999999999999</v>
      </c>
      <c r="D85" s="15">
        <v>39386</v>
      </c>
      <c r="E85">
        <v>1.6768000000000001</v>
      </c>
      <c r="G85" s="15">
        <v>39386</v>
      </c>
      <c r="H85">
        <v>1.3744400000000001</v>
      </c>
      <c r="J85" s="15">
        <v>39386</v>
      </c>
      <c r="K85">
        <v>1.5619000000000001</v>
      </c>
      <c r="M85" s="15">
        <v>39386</v>
      </c>
      <c r="N85">
        <v>1.8821000000000001</v>
      </c>
      <c r="P85" s="12">
        <f t="shared" si="4"/>
        <v>1.1592118907708262</v>
      </c>
      <c r="Q85" s="12">
        <f t="shared" si="5"/>
        <v>0.95018320082958885</v>
      </c>
      <c r="R85" s="12">
        <f t="shared" si="6"/>
        <v>1.0797787763567233</v>
      </c>
      <c r="S85" s="12">
        <f t="shared" si="7"/>
        <v>1.3011406844106466</v>
      </c>
    </row>
    <row r="86" spans="1:19" x14ac:dyDescent="0.25">
      <c r="A86" s="15">
        <v>39416</v>
      </c>
      <c r="B86">
        <v>1.4633</v>
      </c>
      <c r="D86" s="15">
        <v>39416</v>
      </c>
      <c r="E86">
        <v>1.6560999999999999</v>
      </c>
      <c r="G86" s="15">
        <v>39416</v>
      </c>
      <c r="H86">
        <v>1.4716499999999999</v>
      </c>
      <c r="J86" s="15">
        <v>39416</v>
      </c>
      <c r="K86">
        <v>1.6644000000000001</v>
      </c>
      <c r="M86" s="15">
        <v>39416</v>
      </c>
      <c r="N86">
        <v>1.9263999999999999</v>
      </c>
      <c r="P86" s="12">
        <f t="shared" si="4"/>
        <v>1.1317569876306977</v>
      </c>
      <c r="Q86" s="12">
        <f t="shared" si="5"/>
        <v>1.0057062803252921</v>
      </c>
      <c r="R86" s="12">
        <f t="shared" si="6"/>
        <v>1.1374290986127247</v>
      </c>
      <c r="S86" s="12">
        <f t="shared" si="7"/>
        <v>1.3164764573224901</v>
      </c>
    </row>
    <row r="87" spans="1:19" x14ac:dyDescent="0.25">
      <c r="A87" s="15">
        <v>39447</v>
      </c>
      <c r="B87">
        <v>1.4582999999999999</v>
      </c>
      <c r="D87" s="15">
        <v>39447</v>
      </c>
      <c r="E87">
        <v>1.6567000000000001</v>
      </c>
      <c r="G87" s="15">
        <v>39447</v>
      </c>
      <c r="H87">
        <v>1.4444999999999999</v>
      </c>
      <c r="J87" s="15">
        <v>39447</v>
      </c>
      <c r="K87">
        <v>1.66313</v>
      </c>
      <c r="M87" s="15">
        <v>39447</v>
      </c>
      <c r="N87">
        <v>1.9039999999999999</v>
      </c>
      <c r="P87" s="12">
        <f t="shared" si="4"/>
        <v>1.1360488239731195</v>
      </c>
      <c r="Q87" s="12">
        <f t="shared" si="5"/>
        <v>0.99053692655832126</v>
      </c>
      <c r="R87" s="12">
        <f t="shared" si="6"/>
        <v>1.1404580676129741</v>
      </c>
      <c r="S87" s="12">
        <f t="shared" si="7"/>
        <v>1.3056298429678392</v>
      </c>
    </row>
    <row r="88" spans="1:19" x14ac:dyDescent="0.25">
      <c r="A88" s="15">
        <v>39478</v>
      </c>
      <c r="B88">
        <v>1.4849000000000001</v>
      </c>
      <c r="D88" s="15">
        <v>39478</v>
      </c>
      <c r="E88">
        <v>1.6076999999999999</v>
      </c>
      <c r="G88" s="15">
        <v>39478</v>
      </c>
      <c r="H88">
        <v>1.4898199999999999</v>
      </c>
      <c r="J88" s="15">
        <v>39478</v>
      </c>
      <c r="K88">
        <v>1.6569</v>
      </c>
      <c r="M88" s="15">
        <v>39478</v>
      </c>
      <c r="N88">
        <v>1.8844000000000001</v>
      </c>
      <c r="P88" s="12">
        <f t="shared" si="4"/>
        <v>1.0826991716613912</v>
      </c>
      <c r="Q88" s="12">
        <f t="shared" si="5"/>
        <v>1.003313354434642</v>
      </c>
      <c r="R88" s="12">
        <f t="shared" si="6"/>
        <v>1.1158327160078119</v>
      </c>
      <c r="S88" s="12">
        <f t="shared" si="7"/>
        <v>1.2690416863088423</v>
      </c>
    </row>
    <row r="89" spans="1:19" x14ac:dyDescent="0.25">
      <c r="A89" s="15">
        <v>39507</v>
      </c>
      <c r="B89">
        <v>1.5179</v>
      </c>
      <c r="D89" s="15">
        <v>39507</v>
      </c>
      <c r="E89">
        <v>1.58388</v>
      </c>
      <c r="G89" s="15">
        <v>39507</v>
      </c>
      <c r="H89">
        <v>1.48811</v>
      </c>
      <c r="J89" s="15">
        <v>39507</v>
      </c>
      <c r="K89">
        <v>1.6208</v>
      </c>
      <c r="M89" s="15">
        <v>39507</v>
      </c>
      <c r="N89">
        <v>1.8897999999999999</v>
      </c>
      <c r="P89" s="12">
        <f t="shared" si="4"/>
        <v>1.0434679491402594</v>
      </c>
      <c r="Q89" s="12">
        <f t="shared" si="5"/>
        <v>0.98037420119902496</v>
      </c>
      <c r="R89" s="12">
        <f t="shared" si="6"/>
        <v>1.0677910270768824</v>
      </c>
      <c r="S89" s="12">
        <f t="shared" si="7"/>
        <v>1.245009552671454</v>
      </c>
    </row>
    <row r="90" spans="1:19" x14ac:dyDescent="0.25">
      <c r="A90" s="15">
        <v>39538</v>
      </c>
      <c r="B90">
        <v>1.5809</v>
      </c>
      <c r="D90" s="15">
        <v>39538</v>
      </c>
      <c r="E90">
        <v>1.5685800000000001</v>
      </c>
      <c r="G90" s="15">
        <v>39538</v>
      </c>
      <c r="H90">
        <v>1.62415</v>
      </c>
      <c r="J90" s="15">
        <v>39538</v>
      </c>
      <c r="K90">
        <v>1.7304999999999999</v>
      </c>
      <c r="M90" s="15">
        <v>39538</v>
      </c>
      <c r="N90">
        <v>2.0091999999999999</v>
      </c>
      <c r="P90" s="12">
        <f t="shared" si="4"/>
        <v>0.99220697071288511</v>
      </c>
      <c r="Q90" s="12">
        <f t="shared" si="5"/>
        <v>1.0273578341451073</v>
      </c>
      <c r="R90" s="12">
        <f t="shared" si="6"/>
        <v>1.0946296413435386</v>
      </c>
      <c r="S90" s="12">
        <f t="shared" si="7"/>
        <v>1.2709216269213739</v>
      </c>
    </row>
    <row r="91" spans="1:19" x14ac:dyDescent="0.25">
      <c r="A91" s="15">
        <v>39568</v>
      </c>
      <c r="B91">
        <v>1.5570999999999999</v>
      </c>
      <c r="D91" s="15">
        <v>39568</v>
      </c>
      <c r="E91">
        <v>1.6198999999999999</v>
      </c>
      <c r="G91" s="15">
        <v>39568</v>
      </c>
      <c r="H91">
        <v>1.5704</v>
      </c>
      <c r="J91" s="15">
        <v>39568</v>
      </c>
      <c r="K91">
        <v>1.6513500000000001</v>
      </c>
      <c r="M91" s="15">
        <v>39568</v>
      </c>
      <c r="N91">
        <v>1.9893000000000001</v>
      </c>
      <c r="P91" s="12">
        <f t="shared" si="4"/>
        <v>1.0403313852674845</v>
      </c>
      <c r="Q91" s="12">
        <f t="shared" si="5"/>
        <v>1.0085415194913623</v>
      </c>
      <c r="R91" s="12">
        <f t="shared" si="6"/>
        <v>1.0605291888767583</v>
      </c>
      <c r="S91" s="12">
        <f t="shared" si="7"/>
        <v>1.2775672724937384</v>
      </c>
    </row>
    <row r="92" spans="1:19" x14ac:dyDescent="0.25">
      <c r="A92" s="15">
        <v>39598</v>
      </c>
      <c r="B92">
        <v>1.5555000000000001</v>
      </c>
      <c r="D92" s="15">
        <v>39598</v>
      </c>
      <c r="E92">
        <v>1.6229100000000001</v>
      </c>
      <c r="G92" s="15">
        <v>39598</v>
      </c>
      <c r="H92">
        <v>1.5463</v>
      </c>
      <c r="J92" s="15">
        <v>39598</v>
      </c>
      <c r="K92">
        <v>1.62639</v>
      </c>
      <c r="M92" s="15">
        <v>39598</v>
      </c>
      <c r="N92">
        <v>1.9833000000000001</v>
      </c>
      <c r="P92" s="12">
        <f t="shared" si="4"/>
        <v>1.0433365477338477</v>
      </c>
      <c r="Q92" s="12">
        <f t="shared" si="5"/>
        <v>0.99408550305368037</v>
      </c>
      <c r="R92" s="12">
        <f t="shared" si="6"/>
        <v>1.0455737704918031</v>
      </c>
      <c r="S92" s="12">
        <f t="shared" si="7"/>
        <v>1.2750241080038571</v>
      </c>
    </row>
    <row r="93" spans="1:19" x14ac:dyDescent="0.25">
      <c r="A93" s="15">
        <v>39629</v>
      </c>
      <c r="B93">
        <v>1.5736000000000001</v>
      </c>
      <c r="D93" s="15">
        <v>39629</v>
      </c>
      <c r="E93">
        <v>1.6063700000000001</v>
      </c>
      <c r="G93" s="15">
        <v>39629</v>
      </c>
      <c r="H93">
        <v>1.60205</v>
      </c>
      <c r="J93" s="15">
        <v>39629</v>
      </c>
      <c r="K93">
        <v>1.6445000000000001</v>
      </c>
      <c r="M93" s="15">
        <v>39629</v>
      </c>
      <c r="N93">
        <v>2.0686</v>
      </c>
      <c r="P93" s="12">
        <f t="shared" si="4"/>
        <v>1.0208248601931875</v>
      </c>
      <c r="Q93" s="12">
        <f t="shared" si="5"/>
        <v>1.0180795627859685</v>
      </c>
      <c r="R93" s="12">
        <f t="shared" si="6"/>
        <v>1.0450559227249618</v>
      </c>
      <c r="S93" s="12">
        <f t="shared" si="7"/>
        <v>1.3145653279105236</v>
      </c>
    </row>
    <row r="94" spans="1:19" x14ac:dyDescent="0.25">
      <c r="A94" s="15">
        <v>39660</v>
      </c>
      <c r="B94">
        <v>1.5590999999999999</v>
      </c>
      <c r="D94" s="15">
        <v>39660</v>
      </c>
      <c r="E94">
        <v>1.63409</v>
      </c>
      <c r="G94" s="15">
        <v>39660</v>
      </c>
      <c r="H94">
        <v>1.5978000000000001</v>
      </c>
      <c r="J94" s="15">
        <v>39660</v>
      </c>
      <c r="K94">
        <v>1.6559600000000001</v>
      </c>
      <c r="M94" s="15">
        <v>39660</v>
      </c>
      <c r="N94">
        <v>2.1248</v>
      </c>
      <c r="P94" s="12">
        <f t="shared" si="4"/>
        <v>1.0480982618177155</v>
      </c>
      <c r="Q94" s="12">
        <f t="shared" si="5"/>
        <v>1.0248220126996346</v>
      </c>
      <c r="R94" s="12">
        <f t="shared" si="6"/>
        <v>1.0621255852735554</v>
      </c>
      <c r="S94" s="12">
        <f t="shared" si="7"/>
        <v>1.3628375344750177</v>
      </c>
    </row>
    <row r="95" spans="1:19" x14ac:dyDescent="0.25">
      <c r="A95" s="15">
        <v>39689</v>
      </c>
      <c r="B95">
        <v>1.4674</v>
      </c>
      <c r="D95" s="15">
        <v>39689</v>
      </c>
      <c r="E95">
        <v>1.61605</v>
      </c>
      <c r="G95" s="15">
        <v>39689</v>
      </c>
      <c r="H95">
        <v>1.55775</v>
      </c>
      <c r="J95" s="15">
        <v>39689</v>
      </c>
      <c r="K95">
        <v>1.7085399999999999</v>
      </c>
      <c r="M95" s="15">
        <v>39689</v>
      </c>
      <c r="N95">
        <v>2.0960999999999999</v>
      </c>
      <c r="P95" s="12">
        <f t="shared" si="4"/>
        <v>1.1013016219163145</v>
      </c>
      <c r="Q95" s="12">
        <f t="shared" si="5"/>
        <v>1.0615714869837809</v>
      </c>
      <c r="R95" s="12">
        <f t="shared" si="6"/>
        <v>1.1643314706283221</v>
      </c>
      <c r="S95" s="12">
        <f t="shared" si="7"/>
        <v>1.4284448684748534</v>
      </c>
    </row>
    <row r="96" spans="1:19" x14ac:dyDescent="0.25">
      <c r="A96" s="15">
        <v>39721</v>
      </c>
      <c r="B96">
        <v>1.4066000000000001</v>
      </c>
      <c r="D96" s="15">
        <v>39721</v>
      </c>
      <c r="E96">
        <v>1.5778799999999999</v>
      </c>
      <c r="G96" s="15">
        <v>39721</v>
      </c>
      <c r="H96">
        <v>1.4904500000000001</v>
      </c>
      <c r="J96" s="15">
        <v>39721</v>
      </c>
      <c r="K96">
        <v>1.77989</v>
      </c>
      <c r="M96" s="15">
        <v>39721</v>
      </c>
      <c r="N96">
        <v>2.1017000000000001</v>
      </c>
      <c r="P96" s="12">
        <f t="shared" si="4"/>
        <v>1.1217688042087302</v>
      </c>
      <c r="Q96" s="12">
        <f t="shared" si="5"/>
        <v>1.0596118299445472</v>
      </c>
      <c r="R96" s="12">
        <f t="shared" si="6"/>
        <v>1.2653846153846153</v>
      </c>
      <c r="S96" s="12">
        <f t="shared" si="7"/>
        <v>1.494170339826532</v>
      </c>
    </row>
    <row r="97" spans="1:19" x14ac:dyDescent="0.25">
      <c r="A97" s="15">
        <v>39752</v>
      </c>
      <c r="B97">
        <v>1.2726</v>
      </c>
      <c r="D97" s="15">
        <v>39752</v>
      </c>
      <c r="E97">
        <v>1.4774499999999999</v>
      </c>
      <c r="G97" s="15">
        <v>39752</v>
      </c>
      <c r="H97">
        <v>1.52725</v>
      </c>
      <c r="J97" s="15">
        <v>39752</v>
      </c>
      <c r="K97">
        <v>1.9151</v>
      </c>
      <c r="M97" s="15">
        <v>39752</v>
      </c>
      <c r="N97">
        <v>2.1795</v>
      </c>
      <c r="P97" s="12">
        <f t="shared" si="4"/>
        <v>1.1609696683954109</v>
      </c>
      <c r="Q97" s="12">
        <f t="shared" si="5"/>
        <v>1.2001021530724501</v>
      </c>
      <c r="R97" s="12">
        <f t="shared" si="6"/>
        <v>1.5048719157630051</v>
      </c>
      <c r="S97" s="12">
        <f t="shared" si="7"/>
        <v>1.7126355492692127</v>
      </c>
    </row>
    <row r="98" spans="1:19" x14ac:dyDescent="0.25">
      <c r="A98" s="15">
        <v>39780</v>
      </c>
      <c r="B98">
        <v>1.2690999999999999</v>
      </c>
      <c r="D98" s="15">
        <v>39780</v>
      </c>
      <c r="E98">
        <v>1.5424</v>
      </c>
      <c r="G98" s="15">
        <v>39780</v>
      </c>
      <c r="H98">
        <v>1.57575</v>
      </c>
      <c r="J98" s="15">
        <v>39780</v>
      </c>
      <c r="K98">
        <v>1.93733</v>
      </c>
      <c r="M98" s="15">
        <v>39780</v>
      </c>
      <c r="N98">
        <v>2.3107000000000002</v>
      </c>
      <c r="P98" s="12">
        <f t="shared" si="4"/>
        <v>1.2153494602474195</v>
      </c>
      <c r="Q98" s="12">
        <f t="shared" si="5"/>
        <v>1.2416279253013949</v>
      </c>
      <c r="R98" s="12">
        <f t="shared" si="6"/>
        <v>1.5265384918446143</v>
      </c>
      <c r="S98" s="12">
        <f t="shared" si="7"/>
        <v>1.8207391064533924</v>
      </c>
    </row>
    <row r="99" spans="1:19" x14ac:dyDescent="0.25">
      <c r="A99" s="15">
        <v>39813</v>
      </c>
      <c r="B99">
        <v>1.3951</v>
      </c>
      <c r="D99" s="15">
        <v>39813</v>
      </c>
      <c r="E99">
        <v>1.49125</v>
      </c>
      <c r="G99" s="15">
        <v>39813</v>
      </c>
      <c r="H99">
        <v>1.6993499999999999</v>
      </c>
      <c r="J99" s="15">
        <v>39813</v>
      </c>
      <c r="K99">
        <v>1.9799100000000001</v>
      </c>
      <c r="M99" s="15">
        <v>39813</v>
      </c>
      <c r="N99">
        <v>2.3786999999999998</v>
      </c>
      <c r="P99" s="12">
        <f t="shared" si="4"/>
        <v>1.0689197906960075</v>
      </c>
      <c r="Q99" s="12">
        <f t="shared" si="5"/>
        <v>1.218084725109311</v>
      </c>
      <c r="R99" s="12">
        <f t="shared" si="6"/>
        <v>1.4191885886316393</v>
      </c>
      <c r="S99" s="12">
        <f t="shared" si="7"/>
        <v>1.7050390652999783</v>
      </c>
    </row>
    <row r="100" spans="1:19" x14ac:dyDescent="0.25">
      <c r="A100" s="15">
        <v>39843</v>
      </c>
      <c r="B100">
        <v>1.2813000000000001</v>
      </c>
      <c r="D100" s="15">
        <v>39843</v>
      </c>
      <c r="E100">
        <v>1.4855499999999999</v>
      </c>
      <c r="G100" s="15">
        <v>39843</v>
      </c>
      <c r="H100">
        <v>1.57535</v>
      </c>
      <c r="J100" s="15">
        <v>39843</v>
      </c>
      <c r="K100">
        <v>2.0091399999999999</v>
      </c>
      <c r="M100" s="15">
        <v>39843</v>
      </c>
      <c r="N100">
        <v>2.5175999999999998</v>
      </c>
      <c r="P100" s="12">
        <f t="shared" si="4"/>
        <v>1.1594084133302114</v>
      </c>
      <c r="Q100" s="12">
        <f t="shared" si="5"/>
        <v>1.2294934831811442</v>
      </c>
      <c r="R100" s="12">
        <f t="shared" si="6"/>
        <v>1.568048076172637</v>
      </c>
      <c r="S100" s="12">
        <f t="shared" si="7"/>
        <v>1.9648794193397328</v>
      </c>
    </row>
    <row r="101" spans="1:19" x14ac:dyDescent="0.25">
      <c r="A101" s="15">
        <v>39871</v>
      </c>
      <c r="B101">
        <v>1.2668999999999999</v>
      </c>
      <c r="D101" s="15">
        <v>39871</v>
      </c>
      <c r="E101">
        <v>1.4822500000000001</v>
      </c>
      <c r="G101" s="15">
        <v>39871</v>
      </c>
      <c r="H101">
        <v>1.6158999999999999</v>
      </c>
      <c r="J101" s="15">
        <v>39871</v>
      </c>
      <c r="K101">
        <v>1.98289</v>
      </c>
      <c r="M101" s="15">
        <v>39871</v>
      </c>
      <c r="N101">
        <v>2.5297999999999998</v>
      </c>
      <c r="P101" s="12">
        <f t="shared" si="4"/>
        <v>1.1699818454495226</v>
      </c>
      <c r="Q101" s="12">
        <f t="shared" si="5"/>
        <v>1.2754755702896834</v>
      </c>
      <c r="R101" s="12">
        <f t="shared" si="6"/>
        <v>1.5651511563659328</v>
      </c>
      <c r="S101" s="12">
        <f t="shared" si="7"/>
        <v>1.9968426868734708</v>
      </c>
    </row>
    <row r="102" spans="1:19" x14ac:dyDescent="0.25">
      <c r="A102" s="15">
        <v>39903</v>
      </c>
      <c r="B102">
        <v>1.3229</v>
      </c>
      <c r="D102" s="15">
        <v>39903</v>
      </c>
      <c r="E102">
        <v>1.51258</v>
      </c>
      <c r="G102" s="15">
        <v>39903</v>
      </c>
      <c r="H102">
        <v>1.6697</v>
      </c>
      <c r="J102" s="15">
        <v>39903</v>
      </c>
      <c r="K102">
        <v>1.9096200000000001</v>
      </c>
      <c r="M102" s="15">
        <v>39903</v>
      </c>
      <c r="N102">
        <v>2.3277000000000001</v>
      </c>
      <c r="P102" s="12">
        <f t="shared" si="4"/>
        <v>1.1433819638672613</v>
      </c>
      <c r="Q102" s="12">
        <f t="shared" si="5"/>
        <v>1.262151334190037</v>
      </c>
      <c r="R102" s="12">
        <f t="shared" si="6"/>
        <v>1.443510469423237</v>
      </c>
      <c r="S102" s="12">
        <f t="shared" si="7"/>
        <v>1.7595434273187696</v>
      </c>
    </row>
    <row r="103" spans="1:19" x14ac:dyDescent="0.25">
      <c r="A103" s="15">
        <v>39933</v>
      </c>
      <c r="B103">
        <v>1.3209</v>
      </c>
      <c r="D103" s="15">
        <v>39933</v>
      </c>
      <c r="E103">
        <v>1.50962</v>
      </c>
      <c r="G103" s="15">
        <v>39933</v>
      </c>
      <c r="H103">
        <v>1.5809</v>
      </c>
      <c r="J103" s="15">
        <v>39933</v>
      </c>
      <c r="K103">
        <v>1.8127899999999999</v>
      </c>
      <c r="M103" s="15">
        <v>39933</v>
      </c>
      <c r="N103">
        <v>2.3321000000000001</v>
      </c>
      <c r="P103" s="12">
        <f t="shared" si="4"/>
        <v>1.1428722840487546</v>
      </c>
      <c r="Q103" s="12">
        <f t="shared" si="5"/>
        <v>1.196835490953138</v>
      </c>
      <c r="R103" s="12">
        <f t="shared" si="6"/>
        <v>1.3723900370959194</v>
      </c>
      <c r="S103" s="12">
        <f t="shared" si="7"/>
        <v>1.7655386478915891</v>
      </c>
    </row>
    <row r="104" spans="1:19" x14ac:dyDescent="0.25">
      <c r="A104" s="15">
        <v>39962</v>
      </c>
      <c r="B104">
        <v>1.4157999999999999</v>
      </c>
      <c r="D104" s="15">
        <v>39962</v>
      </c>
      <c r="E104">
        <v>1.50915</v>
      </c>
      <c r="G104" s="15">
        <v>39962</v>
      </c>
      <c r="H104">
        <v>1.54237</v>
      </c>
      <c r="J104" s="15">
        <v>39962</v>
      </c>
      <c r="K104">
        <v>1.7655099999999999</v>
      </c>
      <c r="M104" s="15">
        <v>39962</v>
      </c>
      <c r="N104">
        <v>2.2174</v>
      </c>
      <c r="P104" s="12">
        <f t="shared" si="4"/>
        <v>1.0659344540189293</v>
      </c>
      <c r="Q104" s="12">
        <f t="shared" si="5"/>
        <v>1.0893982200875831</v>
      </c>
      <c r="R104" s="12">
        <f t="shared" si="6"/>
        <v>1.2470052267269389</v>
      </c>
      <c r="S104" s="12">
        <f t="shared" si="7"/>
        <v>1.5661816640768471</v>
      </c>
    </row>
    <row r="105" spans="1:19" x14ac:dyDescent="0.25">
      <c r="A105" s="15">
        <v>39994</v>
      </c>
      <c r="B105">
        <v>1.405</v>
      </c>
      <c r="D105" s="15">
        <v>39994</v>
      </c>
      <c r="E105">
        <v>1.5242500000000001</v>
      </c>
      <c r="G105" s="15">
        <v>39994</v>
      </c>
      <c r="H105">
        <v>1.6313500000000001</v>
      </c>
      <c r="J105" s="15">
        <v>39994</v>
      </c>
      <c r="K105">
        <v>1.7399100000000001</v>
      </c>
      <c r="M105" s="15">
        <v>39994</v>
      </c>
      <c r="N105">
        <v>2.1755</v>
      </c>
      <c r="P105" s="12">
        <f t="shared" si="4"/>
        <v>1.0848754448398576</v>
      </c>
      <c r="Q105" s="12">
        <f t="shared" si="5"/>
        <v>1.1611032028469752</v>
      </c>
      <c r="R105" s="12">
        <f t="shared" si="6"/>
        <v>1.2383701067615658</v>
      </c>
      <c r="S105" s="12">
        <f t="shared" si="7"/>
        <v>1.5483985765124555</v>
      </c>
    </row>
    <row r="106" spans="1:19" x14ac:dyDescent="0.25">
      <c r="A106" s="15">
        <v>40025</v>
      </c>
      <c r="B106">
        <v>1.4257</v>
      </c>
      <c r="D106" s="15">
        <v>40025</v>
      </c>
      <c r="E106">
        <v>1.5230600000000001</v>
      </c>
      <c r="G106" s="15">
        <v>40025</v>
      </c>
      <c r="H106">
        <v>1.5363</v>
      </c>
      <c r="J106" s="15">
        <v>40025</v>
      </c>
      <c r="K106">
        <v>1.70581</v>
      </c>
      <c r="M106" s="15">
        <v>40025</v>
      </c>
      <c r="N106">
        <v>2.1549999999999998</v>
      </c>
      <c r="P106" s="12">
        <f t="shared" si="4"/>
        <v>1.0682892614154451</v>
      </c>
      <c r="Q106" s="12">
        <f t="shared" si="5"/>
        <v>1.0775759276145052</v>
      </c>
      <c r="R106" s="12">
        <f t="shared" si="6"/>
        <v>1.1964719085361577</v>
      </c>
      <c r="S106" s="12">
        <f t="shared" si="7"/>
        <v>1.5115381917654485</v>
      </c>
    </row>
    <row r="107" spans="1:19" x14ac:dyDescent="0.25">
      <c r="A107" s="15">
        <v>40056</v>
      </c>
      <c r="B107">
        <v>1.4341999999999999</v>
      </c>
      <c r="D107" s="15">
        <v>40056</v>
      </c>
      <c r="E107">
        <v>1.51718</v>
      </c>
      <c r="G107" s="15">
        <v>40056</v>
      </c>
      <c r="H107">
        <v>1.5747500000000001</v>
      </c>
      <c r="J107" s="15">
        <v>40056</v>
      </c>
      <c r="K107">
        <v>1.702</v>
      </c>
      <c r="M107" s="15">
        <v>40056</v>
      </c>
      <c r="N107">
        <v>2.0945</v>
      </c>
      <c r="P107" s="12">
        <f t="shared" si="4"/>
        <v>1.0578580393250594</v>
      </c>
      <c r="Q107" s="12">
        <f t="shared" si="5"/>
        <v>1.097998884395482</v>
      </c>
      <c r="R107" s="12">
        <f t="shared" si="6"/>
        <v>1.1867243062334403</v>
      </c>
      <c r="S107" s="12">
        <f t="shared" si="7"/>
        <v>1.4603960396039606</v>
      </c>
    </row>
    <row r="108" spans="1:19" x14ac:dyDescent="0.25">
      <c r="A108" s="15">
        <v>40086</v>
      </c>
      <c r="B108">
        <v>1.4642999999999999</v>
      </c>
      <c r="D108" s="15">
        <v>40086</v>
      </c>
      <c r="E108">
        <v>1.5178</v>
      </c>
      <c r="G108" s="15">
        <v>40086</v>
      </c>
      <c r="H108">
        <v>1.56524</v>
      </c>
      <c r="J108" s="15">
        <v>40086</v>
      </c>
      <c r="K108">
        <v>1.6569799999999999</v>
      </c>
      <c r="M108" s="15">
        <v>40086</v>
      </c>
      <c r="N108">
        <v>2.0225</v>
      </c>
      <c r="P108" s="12">
        <f t="shared" si="4"/>
        <v>1.0365362289148399</v>
      </c>
      <c r="Q108" s="12">
        <f t="shared" si="5"/>
        <v>1.0689339616198867</v>
      </c>
      <c r="R108" s="12">
        <f t="shared" si="6"/>
        <v>1.1315850577067541</v>
      </c>
      <c r="S108" s="12">
        <f t="shared" si="7"/>
        <v>1.3812060370142731</v>
      </c>
    </row>
    <row r="109" spans="1:19" x14ac:dyDescent="0.25">
      <c r="A109" s="15">
        <v>40116</v>
      </c>
      <c r="B109">
        <v>1.4719</v>
      </c>
      <c r="D109" s="15">
        <v>40116</v>
      </c>
      <c r="E109">
        <v>1.5107900000000001</v>
      </c>
      <c r="G109" s="15">
        <v>40116</v>
      </c>
      <c r="H109">
        <v>1.59666</v>
      </c>
      <c r="J109" s="15">
        <v>40116</v>
      </c>
      <c r="K109">
        <v>1.6355200000000001</v>
      </c>
      <c r="M109" s="15">
        <v>40116</v>
      </c>
      <c r="N109">
        <v>2.0388000000000002</v>
      </c>
      <c r="P109" s="12">
        <f t="shared" si="4"/>
        <v>1.0264216319043413</v>
      </c>
      <c r="Q109" s="12">
        <f t="shared" si="5"/>
        <v>1.0847611930158298</v>
      </c>
      <c r="R109" s="12">
        <f t="shared" si="6"/>
        <v>1.1111624431007543</v>
      </c>
      <c r="S109" s="12">
        <f t="shared" si="7"/>
        <v>1.3851484475847544</v>
      </c>
    </row>
    <row r="110" spans="1:19" x14ac:dyDescent="0.25">
      <c r="A110" s="15">
        <v>40147</v>
      </c>
      <c r="B110">
        <v>1.4976</v>
      </c>
      <c r="D110" s="15">
        <v>40147</v>
      </c>
      <c r="E110">
        <v>1.50705</v>
      </c>
      <c r="G110" s="15">
        <v>40147</v>
      </c>
      <c r="H110">
        <v>1.5833200000000001</v>
      </c>
      <c r="J110" s="15">
        <v>40147</v>
      </c>
      <c r="K110">
        <v>1.6416900000000001</v>
      </c>
      <c r="M110" s="15">
        <v>40147</v>
      </c>
      <c r="N110">
        <v>2.1017000000000001</v>
      </c>
      <c r="P110" s="12">
        <f t="shared" si="4"/>
        <v>1.006310096153846</v>
      </c>
      <c r="Q110" s="12">
        <f t="shared" si="5"/>
        <v>1.0572382478632478</v>
      </c>
      <c r="R110" s="12">
        <f t="shared" si="6"/>
        <v>1.0962139423076924</v>
      </c>
      <c r="S110" s="12">
        <f t="shared" si="7"/>
        <v>1.4033787393162394</v>
      </c>
    </row>
    <row r="111" spans="1:19" x14ac:dyDescent="0.25">
      <c r="A111" s="15">
        <v>40178</v>
      </c>
      <c r="B111">
        <v>1.4331</v>
      </c>
      <c r="D111" s="15">
        <v>40178</v>
      </c>
      <c r="E111">
        <v>1.48306</v>
      </c>
      <c r="G111" s="15">
        <v>40178</v>
      </c>
      <c r="H111">
        <v>1.4989699999999999</v>
      </c>
      <c r="J111" s="15">
        <v>40178</v>
      </c>
      <c r="K111">
        <v>1.59609</v>
      </c>
      <c r="M111" s="15">
        <v>40178</v>
      </c>
      <c r="N111">
        <v>1.9741</v>
      </c>
      <c r="P111" s="12">
        <f t="shared" si="4"/>
        <v>1.0348614890796177</v>
      </c>
      <c r="Q111" s="12">
        <f t="shared" si="5"/>
        <v>1.0459632963505685</v>
      </c>
      <c r="R111" s="12">
        <f t="shared" si="6"/>
        <v>1.1137324680761984</v>
      </c>
      <c r="S111" s="12">
        <f t="shared" si="7"/>
        <v>1.3775033144930569</v>
      </c>
    </row>
    <row r="112" spans="1:19" x14ac:dyDescent="0.25">
      <c r="A112" s="15">
        <v>40207</v>
      </c>
      <c r="B112">
        <v>1.3863000000000001</v>
      </c>
      <c r="D112" s="15">
        <v>40207</v>
      </c>
      <c r="E112">
        <v>1.4705299999999999</v>
      </c>
      <c r="G112" s="15">
        <v>40207</v>
      </c>
      <c r="H112">
        <v>1.4839500000000001</v>
      </c>
      <c r="J112" s="15">
        <v>40207</v>
      </c>
      <c r="K112">
        <v>1.56857</v>
      </c>
      <c r="M112" s="15">
        <v>40207</v>
      </c>
      <c r="N112">
        <v>1.9775</v>
      </c>
      <c r="P112" s="12">
        <f t="shared" si="4"/>
        <v>1.0607588545047968</v>
      </c>
      <c r="Q112" s="12">
        <f t="shared" si="5"/>
        <v>1.0704392988530622</v>
      </c>
      <c r="R112" s="12">
        <f t="shared" si="6"/>
        <v>1.1314794777465194</v>
      </c>
      <c r="S112" s="12">
        <f t="shared" si="7"/>
        <v>1.4264589194258097</v>
      </c>
    </row>
    <row r="113" spans="1:19" x14ac:dyDescent="0.25">
      <c r="A113" s="15">
        <v>40235</v>
      </c>
      <c r="B113">
        <v>1.3631</v>
      </c>
      <c r="D113" s="15">
        <v>40235</v>
      </c>
      <c r="E113">
        <v>1.46302</v>
      </c>
      <c r="G113" s="15">
        <v>40235</v>
      </c>
      <c r="H113">
        <v>1.4336199999999999</v>
      </c>
      <c r="J113" s="15">
        <v>40235</v>
      </c>
      <c r="K113">
        <v>1.52247</v>
      </c>
      <c r="M113" s="15">
        <v>40235</v>
      </c>
      <c r="N113">
        <v>1.9524999999999999</v>
      </c>
      <c r="P113" s="12">
        <f t="shared" si="4"/>
        <v>1.0733034993764214</v>
      </c>
      <c r="Q113" s="12">
        <f t="shared" si="5"/>
        <v>1.0517350157728707</v>
      </c>
      <c r="R113" s="12">
        <f t="shared" si="6"/>
        <v>1.1169173208128531</v>
      </c>
      <c r="S113" s="12">
        <f t="shared" si="7"/>
        <v>1.4323967427188027</v>
      </c>
    </row>
    <row r="114" spans="1:19" x14ac:dyDescent="0.25">
      <c r="A114" s="15">
        <v>40268</v>
      </c>
      <c r="B114">
        <v>1.3532999999999999</v>
      </c>
      <c r="D114" s="15">
        <v>40268</v>
      </c>
      <c r="E114">
        <v>1.42252</v>
      </c>
      <c r="G114" s="15">
        <v>40268</v>
      </c>
      <c r="H114">
        <v>1.3743799999999999</v>
      </c>
      <c r="J114" s="15">
        <v>40268</v>
      </c>
      <c r="K114">
        <v>1.47445</v>
      </c>
      <c r="M114" s="15">
        <v>40268</v>
      </c>
      <c r="N114">
        <v>1.9071</v>
      </c>
      <c r="P114" s="12">
        <f t="shared" si="4"/>
        <v>1.0511490430798789</v>
      </c>
      <c r="Q114" s="12">
        <f t="shared" si="5"/>
        <v>1.015576738343309</v>
      </c>
      <c r="R114" s="12">
        <f t="shared" si="6"/>
        <v>1.0895219094066357</v>
      </c>
      <c r="S114" s="12">
        <f t="shared" si="7"/>
        <v>1.4092219020172911</v>
      </c>
    </row>
    <row r="115" spans="1:19" x14ac:dyDescent="0.25">
      <c r="A115" s="15">
        <v>40298</v>
      </c>
      <c r="B115">
        <v>1.3293999999999999</v>
      </c>
      <c r="D115" s="15">
        <v>40298</v>
      </c>
      <c r="E115">
        <v>1.43265</v>
      </c>
      <c r="G115" s="15">
        <v>40298</v>
      </c>
      <c r="H115">
        <v>1.3531899999999999</v>
      </c>
      <c r="J115" s="15">
        <v>40298</v>
      </c>
      <c r="K115">
        <v>1.4382699999999999</v>
      </c>
      <c r="M115" s="15">
        <v>40298</v>
      </c>
      <c r="N115">
        <v>1.8289</v>
      </c>
      <c r="P115" s="12">
        <f t="shared" si="4"/>
        <v>1.0776666165187303</v>
      </c>
      <c r="Q115" s="12">
        <f t="shared" si="5"/>
        <v>1.0178952911087709</v>
      </c>
      <c r="R115" s="12">
        <f t="shared" si="6"/>
        <v>1.081894087558297</v>
      </c>
      <c r="S115" s="12">
        <f t="shared" si="7"/>
        <v>1.3757334135700316</v>
      </c>
    </row>
    <row r="116" spans="1:19" x14ac:dyDescent="0.25">
      <c r="A116" s="15">
        <v>40329</v>
      </c>
      <c r="B116">
        <v>1.2295</v>
      </c>
      <c r="D116" s="15">
        <v>40329</v>
      </c>
      <c r="E116">
        <v>1.42127</v>
      </c>
      <c r="G116" s="15">
        <v>40329</v>
      </c>
      <c r="H116">
        <v>1.2884500000000001</v>
      </c>
      <c r="J116" s="15">
        <v>40329</v>
      </c>
      <c r="K116">
        <v>1.45824</v>
      </c>
      <c r="M116" s="15">
        <v>40329</v>
      </c>
      <c r="N116">
        <v>1.8146</v>
      </c>
      <c r="P116" s="12">
        <f t="shared" si="4"/>
        <v>1.1559739731598211</v>
      </c>
      <c r="Q116" s="12">
        <f t="shared" si="5"/>
        <v>1.047946319642131</v>
      </c>
      <c r="R116" s="12">
        <f t="shared" si="6"/>
        <v>1.1860431069540462</v>
      </c>
      <c r="S116" s="12">
        <f t="shared" si="7"/>
        <v>1.4758845058967058</v>
      </c>
    </row>
    <row r="117" spans="1:19" x14ac:dyDescent="0.25">
      <c r="A117" s="15">
        <v>40359</v>
      </c>
      <c r="B117">
        <v>1.2257</v>
      </c>
      <c r="D117" s="15">
        <v>40359</v>
      </c>
      <c r="E117">
        <v>1.3210500000000001</v>
      </c>
      <c r="G117" s="15">
        <v>40359</v>
      </c>
      <c r="H117">
        <v>1.3016700000000001</v>
      </c>
      <c r="J117" s="15">
        <v>40359</v>
      </c>
      <c r="K117">
        <v>1.4475899999999999</v>
      </c>
      <c r="M117" s="15">
        <v>40359</v>
      </c>
      <c r="N117">
        <v>1.7785</v>
      </c>
      <c r="P117" s="12">
        <f t="shared" si="4"/>
        <v>1.0777922819613281</v>
      </c>
      <c r="Q117" s="12">
        <f t="shared" si="5"/>
        <v>1.0619809088684018</v>
      </c>
      <c r="R117" s="12">
        <f t="shared" si="6"/>
        <v>1.1810312474504365</v>
      </c>
      <c r="S117" s="12">
        <f t="shared" si="7"/>
        <v>1.4510075875010198</v>
      </c>
    </row>
    <row r="118" spans="1:19" x14ac:dyDescent="0.25">
      <c r="A118" s="15">
        <v>40389</v>
      </c>
      <c r="B118">
        <v>1.3051999999999999</v>
      </c>
      <c r="D118" s="15">
        <v>40389</v>
      </c>
      <c r="E118">
        <v>1.3588</v>
      </c>
      <c r="G118" s="15">
        <v>40389</v>
      </c>
      <c r="H118">
        <v>1.3439399999999999</v>
      </c>
      <c r="J118" s="15">
        <v>40389</v>
      </c>
      <c r="K118">
        <v>1.4434499999999999</v>
      </c>
      <c r="M118" s="15">
        <v>40389</v>
      </c>
      <c r="N118">
        <v>1.7978000000000001</v>
      </c>
      <c r="P118" s="12">
        <f t="shared" si="4"/>
        <v>1.0410665032178976</v>
      </c>
      <c r="Q118" s="12">
        <f t="shared" si="5"/>
        <v>1.0296812749003985</v>
      </c>
      <c r="R118" s="12">
        <f t="shared" si="6"/>
        <v>1.105922463990193</v>
      </c>
      <c r="S118" s="12">
        <f t="shared" si="7"/>
        <v>1.3774134232301565</v>
      </c>
    </row>
    <row r="119" spans="1:19" x14ac:dyDescent="0.25">
      <c r="A119" s="15">
        <v>40421</v>
      </c>
      <c r="B119">
        <v>1.2688999999999999</v>
      </c>
      <c r="D119" s="15">
        <v>40421</v>
      </c>
      <c r="E119">
        <v>1.28992</v>
      </c>
      <c r="G119" s="15">
        <v>40421</v>
      </c>
      <c r="H119">
        <v>1.35344</v>
      </c>
      <c r="J119" s="15">
        <v>40421</v>
      </c>
      <c r="K119">
        <v>1.42622</v>
      </c>
      <c r="M119" s="15">
        <v>40421</v>
      </c>
      <c r="N119">
        <v>1.8212999999999999</v>
      </c>
      <c r="P119" s="12">
        <f t="shared" si="4"/>
        <v>1.0165655291985185</v>
      </c>
      <c r="Q119" s="12">
        <f t="shared" si="5"/>
        <v>1.0666246355110727</v>
      </c>
      <c r="R119" s="12">
        <f t="shared" si="6"/>
        <v>1.1239814012136498</v>
      </c>
      <c r="S119" s="12">
        <f t="shared" si="7"/>
        <v>1.4353376940657263</v>
      </c>
    </row>
    <row r="120" spans="1:19" x14ac:dyDescent="0.25">
      <c r="A120" s="15">
        <v>40451</v>
      </c>
      <c r="B120">
        <v>1.3621000000000001</v>
      </c>
      <c r="D120" s="15">
        <v>40451</v>
      </c>
      <c r="E120">
        <v>1.3359000000000001</v>
      </c>
      <c r="G120" s="15">
        <v>40451</v>
      </c>
      <c r="H120">
        <v>1.40188</v>
      </c>
      <c r="J120" s="15">
        <v>40451</v>
      </c>
      <c r="K120">
        <v>1.4105000000000001</v>
      </c>
      <c r="M120" s="15">
        <v>40451</v>
      </c>
      <c r="N120">
        <v>1.8560000000000001</v>
      </c>
      <c r="P120" s="12">
        <f t="shared" si="4"/>
        <v>0.98076499522795679</v>
      </c>
      <c r="Q120" s="12">
        <f t="shared" si="5"/>
        <v>1.0292049041920563</v>
      </c>
      <c r="R120" s="12">
        <f t="shared" si="6"/>
        <v>1.035533367594156</v>
      </c>
      <c r="S120" s="12">
        <f t="shared" si="7"/>
        <v>1.3626018647676381</v>
      </c>
    </row>
    <row r="121" spans="1:19" x14ac:dyDescent="0.25">
      <c r="A121" s="15">
        <v>40480</v>
      </c>
      <c r="B121">
        <v>1.3947000000000001</v>
      </c>
      <c r="D121" s="15">
        <v>40480</v>
      </c>
      <c r="E121">
        <v>1.37016</v>
      </c>
      <c r="G121" s="15">
        <v>40480</v>
      </c>
      <c r="H121">
        <v>1.4217500000000001</v>
      </c>
      <c r="J121" s="15">
        <v>40480</v>
      </c>
      <c r="K121">
        <v>1.41798</v>
      </c>
      <c r="M121" s="15">
        <v>40480</v>
      </c>
      <c r="N121">
        <v>1.8198000000000001</v>
      </c>
      <c r="P121" s="12">
        <f t="shared" si="4"/>
        <v>0.98240481824048187</v>
      </c>
      <c r="Q121" s="12">
        <f t="shared" si="5"/>
        <v>1.0193948519394853</v>
      </c>
      <c r="R121" s="12">
        <f t="shared" si="6"/>
        <v>1.0166917616691762</v>
      </c>
      <c r="S121" s="12">
        <f t="shared" si="7"/>
        <v>1.304796730479673</v>
      </c>
    </row>
    <row r="122" spans="1:19" x14ac:dyDescent="0.25">
      <c r="A122" s="15">
        <v>40512</v>
      </c>
      <c r="B122">
        <v>1.3038000000000001</v>
      </c>
      <c r="D122" s="15">
        <v>40512</v>
      </c>
      <c r="E122">
        <v>1.30568</v>
      </c>
      <c r="G122" s="15">
        <v>40512</v>
      </c>
      <c r="H122">
        <v>1.3379099999999999</v>
      </c>
      <c r="J122" s="15">
        <v>40512</v>
      </c>
      <c r="K122">
        <v>1.3576600000000001</v>
      </c>
      <c r="M122" s="15">
        <v>40512</v>
      </c>
      <c r="N122">
        <v>1.7513000000000001</v>
      </c>
      <c r="P122" s="12">
        <f t="shared" si="4"/>
        <v>1.0014419389476912</v>
      </c>
      <c r="Q122" s="12">
        <f t="shared" si="5"/>
        <v>1.0261619880349746</v>
      </c>
      <c r="R122" s="12">
        <f t="shared" si="6"/>
        <v>1.0413100168737537</v>
      </c>
      <c r="S122" s="12">
        <f t="shared" si="7"/>
        <v>1.3432274888786624</v>
      </c>
    </row>
    <row r="123" spans="1:19" x14ac:dyDescent="0.25">
      <c r="A123" s="15">
        <v>40543</v>
      </c>
      <c r="B123">
        <v>1.3384</v>
      </c>
      <c r="D123" s="15">
        <v>40543</v>
      </c>
      <c r="E123">
        <v>1.2506999999999999</v>
      </c>
      <c r="G123" s="15">
        <v>40543</v>
      </c>
      <c r="H123">
        <v>1.33562</v>
      </c>
      <c r="J123" s="15">
        <v>40543</v>
      </c>
      <c r="K123">
        <v>1.3079799999999999</v>
      </c>
      <c r="M123" s="15">
        <v>40543</v>
      </c>
      <c r="N123">
        <v>1.7153</v>
      </c>
      <c r="P123" s="12">
        <f t="shared" si="4"/>
        <v>0.93447399880454263</v>
      </c>
      <c r="Q123" s="12">
        <f t="shared" si="5"/>
        <v>0.997922893006575</v>
      </c>
      <c r="R123" s="12">
        <f t="shared" si="6"/>
        <v>0.97727136879856535</v>
      </c>
      <c r="S123" s="12">
        <f t="shared" si="7"/>
        <v>1.2816049013747759</v>
      </c>
    </row>
    <row r="124" spans="1:19" x14ac:dyDescent="0.25">
      <c r="A124" s="15">
        <v>40574</v>
      </c>
      <c r="B124">
        <v>1.3697999999999999</v>
      </c>
      <c r="D124" s="15">
        <v>40574</v>
      </c>
      <c r="E124">
        <v>1.2887</v>
      </c>
      <c r="G124" s="15">
        <v>40574</v>
      </c>
      <c r="H124">
        <v>1.37246</v>
      </c>
      <c r="J124" s="15">
        <v>40574</v>
      </c>
      <c r="K124">
        <v>1.3722099999999999</v>
      </c>
      <c r="M124" s="15">
        <v>40574</v>
      </c>
      <c r="N124">
        <v>1.7723</v>
      </c>
      <c r="P124" s="12">
        <f t="shared" si="4"/>
        <v>0.94079427653672076</v>
      </c>
      <c r="Q124" s="12">
        <f t="shared" si="5"/>
        <v>1.0019418893269092</v>
      </c>
      <c r="R124" s="12">
        <f t="shared" si="6"/>
        <v>1.0017593809315228</v>
      </c>
      <c r="S124" s="12">
        <f t="shared" si="7"/>
        <v>1.2938385165717623</v>
      </c>
    </row>
    <row r="125" spans="1:19" x14ac:dyDescent="0.25">
      <c r="A125" s="15">
        <v>40602</v>
      </c>
      <c r="B125">
        <v>1.3792</v>
      </c>
      <c r="D125" s="15">
        <v>40602</v>
      </c>
      <c r="E125">
        <v>1.28216</v>
      </c>
      <c r="G125" s="15">
        <v>40602</v>
      </c>
      <c r="H125">
        <v>1.3422799999999999</v>
      </c>
      <c r="J125" s="15">
        <v>40602</v>
      </c>
      <c r="K125">
        <v>1.3551500000000001</v>
      </c>
      <c r="M125" s="15">
        <v>40602</v>
      </c>
      <c r="N125">
        <v>1.8346</v>
      </c>
      <c r="P125" s="12">
        <f t="shared" si="4"/>
        <v>0.92964037122969834</v>
      </c>
      <c r="Q125" s="12">
        <f t="shared" si="5"/>
        <v>0.97323085846867741</v>
      </c>
      <c r="R125" s="12">
        <f t="shared" si="6"/>
        <v>0.98256235498839917</v>
      </c>
      <c r="S125" s="12">
        <f t="shared" si="7"/>
        <v>1.330191415313225</v>
      </c>
    </row>
    <row r="126" spans="1:19" x14ac:dyDescent="0.25">
      <c r="A126" s="15">
        <v>40633</v>
      </c>
      <c r="B126">
        <v>1.419</v>
      </c>
      <c r="D126" s="15">
        <v>40633</v>
      </c>
      <c r="E126">
        <v>1.29955</v>
      </c>
      <c r="G126" s="15">
        <v>40633</v>
      </c>
      <c r="H126">
        <v>1.3762399999999999</v>
      </c>
      <c r="J126" s="15">
        <v>40633</v>
      </c>
      <c r="K126">
        <v>1.36995</v>
      </c>
      <c r="M126" s="15">
        <v>40633</v>
      </c>
      <c r="N126">
        <v>1.8573999999999999</v>
      </c>
      <c r="P126" s="12">
        <f t="shared" si="4"/>
        <v>0.91582100070472161</v>
      </c>
      <c r="Q126" s="12">
        <f t="shared" si="5"/>
        <v>0.96986610288935859</v>
      </c>
      <c r="R126" s="12">
        <f t="shared" si="6"/>
        <v>0.9654334038054968</v>
      </c>
      <c r="S126" s="12">
        <f t="shared" si="7"/>
        <v>1.3089499647639182</v>
      </c>
    </row>
    <row r="127" spans="1:19" x14ac:dyDescent="0.25">
      <c r="A127" s="15">
        <v>40662</v>
      </c>
      <c r="B127">
        <v>1.4806999999999999</v>
      </c>
      <c r="D127" s="15">
        <v>40662</v>
      </c>
      <c r="E127">
        <v>1.2813300000000001</v>
      </c>
      <c r="G127" s="15">
        <v>40662</v>
      </c>
      <c r="H127">
        <v>1.3994200000000001</v>
      </c>
      <c r="J127" s="15">
        <v>40662</v>
      </c>
      <c r="K127">
        <v>1.3496999999999999</v>
      </c>
      <c r="M127" s="15">
        <v>40662</v>
      </c>
      <c r="N127">
        <v>1.8283</v>
      </c>
      <c r="P127" s="12">
        <f t="shared" si="4"/>
        <v>0.86535422435334652</v>
      </c>
      <c r="Q127" s="12">
        <f t="shared" si="5"/>
        <v>0.94510704396569201</v>
      </c>
      <c r="R127" s="12">
        <f t="shared" si="6"/>
        <v>0.91152833119470522</v>
      </c>
      <c r="S127" s="12">
        <f t="shared" si="7"/>
        <v>1.2347538326467213</v>
      </c>
    </row>
    <row r="128" spans="1:19" x14ac:dyDescent="0.25">
      <c r="A128" s="15">
        <v>40694</v>
      </c>
      <c r="B128">
        <v>1.4369000000000001</v>
      </c>
      <c r="D128" s="15">
        <v>40694</v>
      </c>
      <c r="E128">
        <v>1.2262</v>
      </c>
      <c r="G128" s="15">
        <v>40694</v>
      </c>
      <c r="H128">
        <v>1.39184</v>
      </c>
      <c r="J128" s="15">
        <v>40694</v>
      </c>
      <c r="K128">
        <v>1.3485799999999999</v>
      </c>
      <c r="M128" s="15">
        <v>40694</v>
      </c>
      <c r="N128">
        <v>1.7471000000000001</v>
      </c>
      <c r="P128" s="12">
        <f t="shared" si="4"/>
        <v>0.85336488273366262</v>
      </c>
      <c r="Q128" s="12">
        <f t="shared" si="5"/>
        <v>0.96864082399610263</v>
      </c>
      <c r="R128" s="12">
        <f t="shared" si="6"/>
        <v>0.93853434476999087</v>
      </c>
      <c r="S128" s="12">
        <f t="shared" si="7"/>
        <v>1.2158814113717029</v>
      </c>
    </row>
    <row r="129" spans="1:19" x14ac:dyDescent="0.25">
      <c r="A129" s="15">
        <v>40724</v>
      </c>
      <c r="B129">
        <v>1.4513</v>
      </c>
      <c r="D129" s="15">
        <v>40724</v>
      </c>
      <c r="E129">
        <v>1.22184</v>
      </c>
      <c r="G129" s="15">
        <v>40724</v>
      </c>
      <c r="H129">
        <v>1.3991800000000001</v>
      </c>
      <c r="J129" s="15">
        <v>40724</v>
      </c>
      <c r="K129">
        <v>1.3550199999999999</v>
      </c>
      <c r="M129" s="15">
        <v>40724</v>
      </c>
      <c r="N129">
        <v>1.7567999999999999</v>
      </c>
      <c r="P129" s="12">
        <f t="shared" si="4"/>
        <v>0.84189347481568255</v>
      </c>
      <c r="Q129" s="12">
        <f t="shared" si="5"/>
        <v>0.96408736994418798</v>
      </c>
      <c r="R129" s="12">
        <f t="shared" si="6"/>
        <v>0.93365947770963953</v>
      </c>
      <c r="S129" s="12">
        <f t="shared" si="7"/>
        <v>1.2105009302005099</v>
      </c>
    </row>
    <row r="130" spans="1:19" x14ac:dyDescent="0.25">
      <c r="A130" s="15">
        <v>40753</v>
      </c>
      <c r="B130">
        <v>1.4399</v>
      </c>
      <c r="D130" s="15">
        <v>40753</v>
      </c>
      <c r="E130">
        <v>1.13114</v>
      </c>
      <c r="G130" s="15">
        <v>40753</v>
      </c>
      <c r="H130">
        <v>1.3754299999999999</v>
      </c>
      <c r="J130" s="15">
        <v>40753</v>
      </c>
      <c r="K130">
        <v>1.3095699999999999</v>
      </c>
      <c r="M130" s="15">
        <v>40753</v>
      </c>
      <c r="N130">
        <v>1.6373</v>
      </c>
      <c r="P130" s="12">
        <f t="shared" si="4"/>
        <v>0.78556844225293432</v>
      </c>
      <c r="Q130" s="12">
        <f t="shared" si="5"/>
        <v>0.95522605736509481</v>
      </c>
      <c r="R130" s="12">
        <f t="shared" si="6"/>
        <v>0.90948676991457733</v>
      </c>
      <c r="S130" s="12">
        <f t="shared" si="7"/>
        <v>1.1370928536703937</v>
      </c>
    </row>
    <row r="131" spans="1:19" x14ac:dyDescent="0.25">
      <c r="A131" s="15">
        <v>40786</v>
      </c>
      <c r="B131">
        <v>1.4410000000000001</v>
      </c>
      <c r="D131" s="15">
        <v>40786</v>
      </c>
      <c r="E131">
        <v>1.15872</v>
      </c>
      <c r="G131" s="15">
        <v>40786</v>
      </c>
      <c r="H131">
        <v>1.4078999999999999</v>
      </c>
      <c r="J131" s="15">
        <v>40786</v>
      </c>
      <c r="K131">
        <v>1.3452200000000001</v>
      </c>
      <c r="M131" s="15">
        <v>40786</v>
      </c>
      <c r="N131">
        <v>1.6846000000000001</v>
      </c>
      <c r="P131" s="12">
        <f t="shared" si="4"/>
        <v>0.80410825815405962</v>
      </c>
      <c r="Q131" s="12">
        <f t="shared" si="5"/>
        <v>0.97702984038861895</v>
      </c>
      <c r="R131" s="12">
        <f t="shared" si="6"/>
        <v>0.93353226925746013</v>
      </c>
      <c r="S131" s="12">
        <f t="shared" si="7"/>
        <v>1.1690492713393477</v>
      </c>
    </row>
    <row r="132" spans="1:19" x14ac:dyDescent="0.25">
      <c r="A132" s="15">
        <v>40816</v>
      </c>
      <c r="B132">
        <v>1.3387</v>
      </c>
      <c r="D132" s="15">
        <v>40816</v>
      </c>
      <c r="E132">
        <v>1.21566</v>
      </c>
      <c r="G132" s="15">
        <v>40816</v>
      </c>
      <c r="H132">
        <v>1.4058200000000001</v>
      </c>
      <c r="J132" s="15">
        <v>40816</v>
      </c>
      <c r="K132">
        <v>1.38564</v>
      </c>
      <c r="M132" s="15">
        <v>40816</v>
      </c>
      <c r="N132">
        <v>1.7578</v>
      </c>
      <c r="P132" s="12">
        <f t="shared" ref="P132:P195" si="8">IF(OR($A132="",$B132="",$B132=0),"",IFERROR(INDEX(E$4:E$311,MATCH($A132,D$4:D$311,0))/$B132,""))</f>
        <v>0.90808993799955173</v>
      </c>
      <c r="Q132" s="12">
        <f t="shared" ref="Q132:Q195" si="9">IF(OR($A132="",$B132="",$B132=0),"",IFERROR(INDEX(H$4:H$311,MATCH($A132,G$4:G$311,0))/$B132,""))</f>
        <v>1.0501381937700756</v>
      </c>
      <c r="R132" s="12">
        <f t="shared" ref="R132:R195" si="10">IF(OR($A132="",$B132="",$B132=0),"",IFERROR(INDEX(K$4:K$311,MATCH($A132,J$4:J$311,0))/$B132,""))</f>
        <v>1.0350638679315753</v>
      </c>
      <c r="S132" s="12">
        <f t="shared" ref="S132:S195" si="11">IF(OR($A132="",$B132="",$B132=0),"",IFERROR(INDEX(N$4:N$311,MATCH($A132,M$4:M$311,0))/$B132,""))</f>
        <v>1.3130649137222679</v>
      </c>
    </row>
    <row r="133" spans="1:19" x14ac:dyDescent="0.25">
      <c r="A133" s="15">
        <v>40847</v>
      </c>
      <c r="B133">
        <v>1.3946000000000001</v>
      </c>
      <c r="D133" s="15">
        <v>40847</v>
      </c>
      <c r="E133">
        <v>1.2161599999999999</v>
      </c>
      <c r="G133" s="15">
        <v>40847</v>
      </c>
      <c r="H133">
        <v>1.3877600000000001</v>
      </c>
      <c r="J133" s="15">
        <v>40847</v>
      </c>
      <c r="K133">
        <v>1.3156600000000001</v>
      </c>
      <c r="M133" s="15">
        <v>40847</v>
      </c>
      <c r="N133">
        <v>1.7162999999999999</v>
      </c>
      <c r="P133" s="12">
        <f t="shared" si="8"/>
        <v>0.87204933314211952</v>
      </c>
      <c r="Q133" s="12">
        <f t="shared" si="9"/>
        <v>0.99509536784741148</v>
      </c>
      <c r="R133" s="12">
        <f t="shared" si="10"/>
        <v>0.94339595582962854</v>
      </c>
      <c r="S133" s="12">
        <f t="shared" si="11"/>
        <v>1.2306754624982073</v>
      </c>
    </row>
    <row r="134" spans="1:19" x14ac:dyDescent="0.25">
      <c r="A134" s="15">
        <v>40877</v>
      </c>
      <c r="B134">
        <v>1.3448</v>
      </c>
      <c r="D134" s="15">
        <v>40877</v>
      </c>
      <c r="E134">
        <v>1.22577</v>
      </c>
      <c r="G134" s="15">
        <v>40877</v>
      </c>
      <c r="H134">
        <v>1.36991</v>
      </c>
      <c r="J134" s="15">
        <v>40877</v>
      </c>
      <c r="K134">
        <v>1.31159</v>
      </c>
      <c r="M134" s="15">
        <v>40877</v>
      </c>
      <c r="N134">
        <v>1.7282</v>
      </c>
      <c r="P134" s="12">
        <f t="shared" si="8"/>
        <v>0.91148869720404524</v>
      </c>
      <c r="Q134" s="12">
        <f t="shared" si="9"/>
        <v>1.0186719214753124</v>
      </c>
      <c r="R134" s="12">
        <f t="shared" si="10"/>
        <v>0.97530487804878052</v>
      </c>
      <c r="S134" s="12">
        <f t="shared" si="11"/>
        <v>1.2850981558596073</v>
      </c>
    </row>
    <row r="135" spans="1:19" x14ac:dyDescent="0.25">
      <c r="A135" s="15">
        <v>40907</v>
      </c>
      <c r="B135">
        <v>1.2961</v>
      </c>
      <c r="D135" s="15">
        <v>40907</v>
      </c>
      <c r="E135">
        <v>1.21679</v>
      </c>
      <c r="G135" s="15">
        <v>40907</v>
      </c>
      <c r="H135">
        <v>1.32368</v>
      </c>
      <c r="J135" s="15">
        <v>40907</v>
      </c>
      <c r="K135">
        <v>1.26939</v>
      </c>
      <c r="M135" s="15">
        <v>40907</v>
      </c>
      <c r="N135">
        <v>1.6671</v>
      </c>
      <c r="P135" s="12">
        <f t="shared" si="8"/>
        <v>0.93880873389398967</v>
      </c>
      <c r="Q135" s="12">
        <f t="shared" si="9"/>
        <v>1.0212792222822313</v>
      </c>
      <c r="R135" s="12">
        <f t="shared" si="10"/>
        <v>0.9793920222205077</v>
      </c>
      <c r="S135" s="12">
        <f t="shared" si="11"/>
        <v>1.2862433454208779</v>
      </c>
    </row>
    <row r="136" spans="1:19" x14ac:dyDescent="0.25">
      <c r="A136" s="15">
        <v>40939</v>
      </c>
      <c r="B136">
        <v>1.3070999999999999</v>
      </c>
      <c r="D136" s="15">
        <v>40939</v>
      </c>
      <c r="E136">
        <v>1.2040200000000001</v>
      </c>
      <c r="G136" s="15">
        <v>40939</v>
      </c>
      <c r="H136">
        <v>1.3125500000000001</v>
      </c>
      <c r="J136" s="15">
        <v>40939</v>
      </c>
      <c r="K136">
        <v>1.23292</v>
      </c>
      <c r="M136" s="15">
        <v>40939</v>
      </c>
      <c r="N136">
        <v>1.5827</v>
      </c>
      <c r="P136" s="12">
        <f t="shared" si="8"/>
        <v>0.92113839798026176</v>
      </c>
      <c r="Q136" s="12">
        <f t="shared" si="9"/>
        <v>1.0041695356131897</v>
      </c>
      <c r="R136" s="12">
        <f t="shared" si="10"/>
        <v>0.94324841251625746</v>
      </c>
      <c r="S136" s="12">
        <f t="shared" si="11"/>
        <v>1.2108484431183537</v>
      </c>
    </row>
    <row r="137" spans="1:19" x14ac:dyDescent="0.25">
      <c r="A137" s="15">
        <v>40968</v>
      </c>
      <c r="B137">
        <v>1.3357000000000001</v>
      </c>
      <c r="D137" s="15">
        <v>40968</v>
      </c>
      <c r="E137">
        <v>1.20536</v>
      </c>
      <c r="G137" s="15">
        <v>40968</v>
      </c>
      <c r="H137">
        <v>1.31786</v>
      </c>
      <c r="J137" s="15">
        <v>40968</v>
      </c>
      <c r="K137">
        <v>1.2395400000000001</v>
      </c>
      <c r="M137" s="15">
        <v>40968</v>
      </c>
      <c r="N137">
        <v>1.5911</v>
      </c>
      <c r="P137" s="12">
        <f t="shared" si="8"/>
        <v>0.90241820768136549</v>
      </c>
      <c r="Q137" s="12">
        <f t="shared" si="9"/>
        <v>0.98664370741933061</v>
      </c>
      <c r="R137" s="12">
        <f t="shared" si="10"/>
        <v>0.92800778617953128</v>
      </c>
      <c r="S137" s="12">
        <f t="shared" si="11"/>
        <v>1.1912106011829002</v>
      </c>
    </row>
    <row r="138" spans="1:19" x14ac:dyDescent="0.25">
      <c r="A138" s="15">
        <v>40998</v>
      </c>
      <c r="B138">
        <v>1.3343</v>
      </c>
      <c r="D138" s="15">
        <v>40998</v>
      </c>
      <c r="E138">
        <v>1.2040900000000001</v>
      </c>
      <c r="G138" s="15">
        <v>40998</v>
      </c>
      <c r="H138">
        <v>1.3324499999999999</v>
      </c>
      <c r="J138" s="15">
        <v>40998</v>
      </c>
      <c r="K138">
        <v>1.28962</v>
      </c>
      <c r="M138" s="15">
        <v>40998</v>
      </c>
      <c r="N138">
        <v>1.6258999999999999</v>
      </c>
      <c r="P138" s="12">
        <f t="shared" si="8"/>
        <v>0.90241325039346476</v>
      </c>
      <c r="Q138" s="12">
        <f t="shared" si="9"/>
        <v>0.99861350520872361</v>
      </c>
      <c r="R138" s="12">
        <f t="shared" si="10"/>
        <v>0.9665142771490669</v>
      </c>
      <c r="S138" s="12">
        <f t="shared" si="11"/>
        <v>1.218541557370906</v>
      </c>
    </row>
    <row r="139" spans="1:19" x14ac:dyDescent="0.25">
      <c r="A139" s="15">
        <v>41029</v>
      </c>
      <c r="B139">
        <v>1.3229</v>
      </c>
      <c r="D139" s="15">
        <v>41029</v>
      </c>
      <c r="E139">
        <v>1.2013799999999999</v>
      </c>
      <c r="G139" s="15">
        <v>41029</v>
      </c>
      <c r="H139">
        <v>1.3065199999999999</v>
      </c>
      <c r="J139" s="15">
        <v>41029</v>
      </c>
      <c r="K139">
        <v>1.26959</v>
      </c>
      <c r="M139" s="15">
        <v>41029</v>
      </c>
      <c r="N139">
        <v>1.6181000000000001</v>
      </c>
      <c r="P139" s="12">
        <f t="shared" si="8"/>
        <v>0.90814120492856598</v>
      </c>
      <c r="Q139" s="12">
        <f t="shared" si="9"/>
        <v>0.98761811172424219</v>
      </c>
      <c r="R139" s="12">
        <f t="shared" si="10"/>
        <v>0.95970216947615095</v>
      </c>
      <c r="S139" s="12">
        <f t="shared" si="11"/>
        <v>1.2231461183762946</v>
      </c>
    </row>
    <row r="140" spans="1:19" x14ac:dyDescent="0.25">
      <c r="A140" s="15">
        <v>41060</v>
      </c>
      <c r="B140">
        <v>1.2363</v>
      </c>
      <c r="D140" s="15">
        <v>41060</v>
      </c>
      <c r="E140">
        <v>1.2010099999999999</v>
      </c>
      <c r="G140" s="15">
        <v>41060</v>
      </c>
      <c r="H140">
        <v>1.27715</v>
      </c>
      <c r="J140" s="15">
        <v>41060</v>
      </c>
      <c r="K140">
        <v>1.27</v>
      </c>
      <c r="M140" s="15">
        <v>41060</v>
      </c>
      <c r="N140">
        <v>1.6391</v>
      </c>
      <c r="P140" s="12">
        <f t="shared" si="8"/>
        <v>0.97145514842675718</v>
      </c>
      <c r="Q140" s="12">
        <f t="shared" si="9"/>
        <v>1.0330421418749496</v>
      </c>
      <c r="R140" s="12">
        <f t="shared" si="10"/>
        <v>1.0272587559653805</v>
      </c>
      <c r="S140" s="12">
        <f t="shared" si="11"/>
        <v>1.3258108873250829</v>
      </c>
    </row>
    <row r="141" spans="1:19" x14ac:dyDescent="0.25">
      <c r="A141" s="15">
        <v>41089</v>
      </c>
      <c r="B141">
        <v>1.2666999999999999</v>
      </c>
      <c r="D141" s="15">
        <v>41089</v>
      </c>
      <c r="E141">
        <v>1.2011799999999999</v>
      </c>
      <c r="G141" s="15">
        <v>41089</v>
      </c>
      <c r="H141">
        <v>1.28752</v>
      </c>
      <c r="J141" s="15">
        <v>41089</v>
      </c>
      <c r="K141">
        <v>1.23726</v>
      </c>
      <c r="M141" s="15">
        <v>41089</v>
      </c>
      <c r="N141">
        <v>1.5806</v>
      </c>
      <c r="P141" s="12">
        <f t="shared" si="8"/>
        <v>0.94827504539354224</v>
      </c>
      <c r="Q141" s="12">
        <f t="shared" si="9"/>
        <v>1.0164364095681693</v>
      </c>
      <c r="R141" s="12">
        <f t="shared" si="10"/>
        <v>0.97675850635509598</v>
      </c>
      <c r="S141" s="12">
        <f t="shared" si="11"/>
        <v>1.2478092681771533</v>
      </c>
    </row>
    <row r="142" spans="1:19" x14ac:dyDescent="0.25">
      <c r="A142" s="15">
        <v>41121</v>
      </c>
      <c r="B142">
        <v>1.2305999999999999</v>
      </c>
      <c r="D142" s="15">
        <v>41121</v>
      </c>
      <c r="E142">
        <v>1.20113</v>
      </c>
      <c r="G142" s="15">
        <v>41121</v>
      </c>
      <c r="H142">
        <v>1.2337199999999999</v>
      </c>
      <c r="J142" s="15">
        <v>41121</v>
      </c>
      <c r="K142">
        <v>1.1705700000000001</v>
      </c>
      <c r="M142" s="15">
        <v>41121</v>
      </c>
      <c r="N142">
        <v>1.5183</v>
      </c>
      <c r="P142" s="12">
        <f t="shared" si="8"/>
        <v>0.976052332195677</v>
      </c>
      <c r="Q142" s="12">
        <f t="shared" si="9"/>
        <v>1.002535348610434</v>
      </c>
      <c r="R142" s="12">
        <f t="shared" si="10"/>
        <v>0.95121891760117028</v>
      </c>
      <c r="S142" s="12">
        <f t="shared" si="11"/>
        <v>1.2337883959044369</v>
      </c>
    </row>
    <row r="143" spans="1:19" x14ac:dyDescent="0.25">
      <c r="A143" s="15">
        <v>41152</v>
      </c>
      <c r="B143">
        <v>1.2579</v>
      </c>
      <c r="D143" s="15">
        <v>41152</v>
      </c>
      <c r="E143">
        <v>1.2009799999999999</v>
      </c>
      <c r="G143" s="15">
        <v>41152</v>
      </c>
      <c r="H143">
        <v>1.2405299999999999</v>
      </c>
      <c r="J143" s="15">
        <v>41152</v>
      </c>
      <c r="K143">
        <v>1.21862</v>
      </c>
      <c r="M143" s="15">
        <v>41152</v>
      </c>
      <c r="N143">
        <v>1.5654999999999999</v>
      </c>
      <c r="P143" s="12">
        <f t="shared" si="8"/>
        <v>0.95474998012560608</v>
      </c>
      <c r="Q143" s="12">
        <f t="shared" si="9"/>
        <v>0.9861912711662294</v>
      </c>
      <c r="R143" s="12">
        <f t="shared" si="10"/>
        <v>0.96877335241275142</v>
      </c>
      <c r="S143" s="12">
        <f t="shared" si="11"/>
        <v>1.2445345416964781</v>
      </c>
    </row>
    <row r="144" spans="1:19" x14ac:dyDescent="0.25">
      <c r="A144" s="15">
        <v>41180</v>
      </c>
      <c r="B144">
        <v>1.286</v>
      </c>
      <c r="D144" s="15">
        <v>41180</v>
      </c>
      <c r="E144">
        <v>1.2084900000000001</v>
      </c>
      <c r="G144" s="15">
        <v>41180</v>
      </c>
      <c r="H144">
        <v>1.26492</v>
      </c>
      <c r="J144" s="15">
        <v>41180</v>
      </c>
      <c r="K144">
        <v>1.2390699999999999</v>
      </c>
      <c r="M144" s="15">
        <v>41180</v>
      </c>
      <c r="N144">
        <v>1.5490999999999999</v>
      </c>
      <c r="P144" s="12">
        <f t="shared" si="8"/>
        <v>0.93972783825816486</v>
      </c>
      <c r="Q144" s="12">
        <f t="shared" si="9"/>
        <v>0.9836080870917574</v>
      </c>
      <c r="R144" s="12">
        <f t="shared" si="10"/>
        <v>0.96350699844478993</v>
      </c>
      <c r="S144" s="12">
        <f t="shared" si="11"/>
        <v>1.2045878693623637</v>
      </c>
    </row>
    <row r="145" spans="1:19" x14ac:dyDescent="0.25">
      <c r="A145" s="15">
        <v>41213</v>
      </c>
      <c r="B145">
        <v>1.2969999999999999</v>
      </c>
      <c r="D145" s="15">
        <v>41213</v>
      </c>
      <c r="E145">
        <v>1.20709</v>
      </c>
      <c r="G145" s="15">
        <v>41213</v>
      </c>
      <c r="H145">
        <v>1.2966500000000001</v>
      </c>
      <c r="J145" s="15">
        <v>41213</v>
      </c>
      <c r="K145">
        <v>1.24943</v>
      </c>
      <c r="M145" s="15">
        <v>41213</v>
      </c>
      <c r="N145">
        <v>1.5768</v>
      </c>
      <c r="P145" s="12">
        <f t="shared" si="8"/>
        <v>0.93067848882035475</v>
      </c>
      <c r="Q145" s="12">
        <f t="shared" si="9"/>
        <v>0.9997301464919045</v>
      </c>
      <c r="R145" s="12">
        <f t="shared" si="10"/>
        <v>0.96332305319969169</v>
      </c>
      <c r="S145" s="12">
        <f t="shared" si="11"/>
        <v>1.2157286044718583</v>
      </c>
    </row>
    <row r="146" spans="1:19" x14ac:dyDescent="0.25">
      <c r="A146" s="15">
        <v>41243</v>
      </c>
      <c r="B146">
        <v>1.2986</v>
      </c>
      <c r="D146" s="15">
        <v>41243</v>
      </c>
      <c r="E146">
        <v>1.2053199999999999</v>
      </c>
      <c r="G146" s="15">
        <v>41243</v>
      </c>
      <c r="H146">
        <v>1.29129</v>
      </c>
      <c r="J146" s="15">
        <v>41243</v>
      </c>
      <c r="K146">
        <v>1.24539</v>
      </c>
      <c r="M146" s="15">
        <v>41243</v>
      </c>
      <c r="N146">
        <v>1.583</v>
      </c>
      <c r="P146" s="12">
        <f t="shared" si="8"/>
        <v>0.92816879716617895</v>
      </c>
      <c r="Q146" s="12">
        <f t="shared" si="9"/>
        <v>0.99437086092715232</v>
      </c>
      <c r="R146" s="12">
        <f t="shared" si="10"/>
        <v>0.95902510395810869</v>
      </c>
      <c r="S146" s="12">
        <f t="shared" si="11"/>
        <v>1.2190050823964269</v>
      </c>
    </row>
    <row r="147" spans="1:19" x14ac:dyDescent="0.25">
      <c r="A147" s="15">
        <v>41274</v>
      </c>
      <c r="B147">
        <v>1.3197000000000001</v>
      </c>
      <c r="D147" s="15">
        <v>41274</v>
      </c>
      <c r="E147">
        <v>1.2072400000000001</v>
      </c>
      <c r="G147" s="15">
        <v>41274</v>
      </c>
      <c r="H147">
        <v>1.31301</v>
      </c>
      <c r="J147" s="15">
        <v>41274</v>
      </c>
      <c r="K147">
        <v>1.27101</v>
      </c>
      <c r="M147" s="15">
        <v>41274</v>
      </c>
      <c r="N147">
        <v>1.5971</v>
      </c>
      <c r="P147" s="12">
        <f t="shared" si="8"/>
        <v>0.91478366295370162</v>
      </c>
      <c r="Q147" s="12">
        <f t="shared" si="9"/>
        <v>0.99493066606046821</v>
      </c>
      <c r="R147" s="12">
        <f t="shared" si="10"/>
        <v>0.96310525119345292</v>
      </c>
      <c r="S147" s="12">
        <f t="shared" si="11"/>
        <v>1.2101992877169052</v>
      </c>
    </row>
    <row r="148" spans="1:19" x14ac:dyDescent="0.25">
      <c r="A148" s="15">
        <v>41305</v>
      </c>
      <c r="B148">
        <v>1.3585</v>
      </c>
      <c r="D148" s="15">
        <v>41305</v>
      </c>
      <c r="E148">
        <v>1.2343900000000001</v>
      </c>
      <c r="G148" s="15">
        <v>41305</v>
      </c>
      <c r="H148">
        <v>1.35467</v>
      </c>
      <c r="J148" s="15">
        <v>41305</v>
      </c>
      <c r="K148">
        <v>1.3015699999999999</v>
      </c>
      <c r="M148" s="15">
        <v>41305</v>
      </c>
      <c r="N148">
        <v>1.6171</v>
      </c>
      <c r="P148" s="12">
        <f t="shared" si="8"/>
        <v>0.90864188443135818</v>
      </c>
      <c r="Q148" s="12">
        <f t="shared" si="9"/>
        <v>0.99718071402281927</v>
      </c>
      <c r="R148" s="12">
        <f t="shared" si="10"/>
        <v>0.95809348546190642</v>
      </c>
      <c r="S148" s="12">
        <f t="shared" si="11"/>
        <v>1.1903570114096429</v>
      </c>
    </row>
    <row r="149" spans="1:19" x14ac:dyDescent="0.25">
      <c r="A149" s="15">
        <v>41333</v>
      </c>
      <c r="B149">
        <v>1.3084</v>
      </c>
      <c r="D149" s="15">
        <v>41333</v>
      </c>
      <c r="E149">
        <v>1.2217899999999999</v>
      </c>
      <c r="G149" s="15">
        <v>41333</v>
      </c>
      <c r="H149">
        <v>1.3468599999999999</v>
      </c>
      <c r="J149" s="15">
        <v>41333</v>
      </c>
      <c r="K149">
        <v>1.2778400000000001</v>
      </c>
      <c r="M149" s="15">
        <v>41333</v>
      </c>
      <c r="N149">
        <v>1.5809</v>
      </c>
      <c r="P149" s="12">
        <f t="shared" si="8"/>
        <v>0.9338046468969734</v>
      </c>
      <c r="Q149" s="12">
        <f t="shared" si="9"/>
        <v>1.0293946805258329</v>
      </c>
      <c r="R149" s="12">
        <f t="shared" si="10"/>
        <v>0.97664322837052897</v>
      </c>
      <c r="S149" s="12">
        <f t="shared" si="11"/>
        <v>1.2082696423112198</v>
      </c>
    </row>
    <row r="150" spans="1:19" x14ac:dyDescent="0.25">
      <c r="A150" s="15">
        <v>41362</v>
      </c>
      <c r="B150">
        <v>1.2819</v>
      </c>
      <c r="D150" s="15">
        <v>41362</v>
      </c>
      <c r="E150">
        <v>1.2168699999999999</v>
      </c>
      <c r="G150" s="15">
        <v>41362</v>
      </c>
      <c r="H150">
        <v>1.30436</v>
      </c>
      <c r="J150" s="15">
        <v>41362</v>
      </c>
      <c r="K150">
        <v>1.2303500000000001</v>
      </c>
      <c r="M150" s="15">
        <v>41362</v>
      </c>
      <c r="N150">
        <v>1.5313000000000001</v>
      </c>
      <c r="P150" s="12">
        <f t="shared" si="8"/>
        <v>0.94927061393244394</v>
      </c>
      <c r="Q150" s="12">
        <f t="shared" si="9"/>
        <v>1.0175208674623606</v>
      </c>
      <c r="R150" s="12">
        <f t="shared" si="10"/>
        <v>0.95978625477806379</v>
      </c>
      <c r="S150" s="12">
        <f t="shared" si="11"/>
        <v>1.1945549574849832</v>
      </c>
    </row>
    <row r="151" spans="1:19" x14ac:dyDescent="0.25">
      <c r="A151" s="15">
        <v>41394</v>
      </c>
      <c r="B151">
        <v>1.3158000000000001</v>
      </c>
      <c r="D151" s="15">
        <v>41394</v>
      </c>
      <c r="E151">
        <v>1.2248000000000001</v>
      </c>
      <c r="G151" s="15">
        <v>41394</v>
      </c>
      <c r="H151">
        <v>1.3255399999999999</v>
      </c>
      <c r="J151" s="15">
        <v>41394</v>
      </c>
      <c r="K151">
        <v>1.2691600000000001</v>
      </c>
      <c r="M151" s="15">
        <v>41394</v>
      </c>
      <c r="N151">
        <v>1.5345</v>
      </c>
      <c r="P151" s="12">
        <f t="shared" si="8"/>
        <v>0.9308405532755738</v>
      </c>
      <c r="Q151" s="12">
        <f t="shared" si="9"/>
        <v>1.0074023407812736</v>
      </c>
      <c r="R151" s="12">
        <f t="shared" si="10"/>
        <v>0.96455388356893146</v>
      </c>
      <c r="S151" s="12">
        <f t="shared" si="11"/>
        <v>1.1662106703146373</v>
      </c>
    </row>
    <row r="152" spans="1:19" x14ac:dyDescent="0.25">
      <c r="A152" s="15">
        <v>41425</v>
      </c>
      <c r="B152">
        <v>1.2999000000000001</v>
      </c>
      <c r="D152" s="15">
        <v>41425</v>
      </c>
      <c r="E152">
        <v>1.2414000000000001</v>
      </c>
      <c r="G152" s="15">
        <v>41425</v>
      </c>
      <c r="H152">
        <v>1.3484499999999999</v>
      </c>
      <c r="J152" s="15">
        <v>41425</v>
      </c>
      <c r="K152">
        <v>1.35815</v>
      </c>
      <c r="M152" s="15">
        <v>41425</v>
      </c>
      <c r="N152">
        <v>1.6353</v>
      </c>
      <c r="P152" s="12">
        <f t="shared" si="8"/>
        <v>0.95499653819524577</v>
      </c>
      <c r="Q152" s="12">
        <f t="shared" si="9"/>
        <v>1.0373490268482191</v>
      </c>
      <c r="R152" s="12">
        <f t="shared" si="10"/>
        <v>1.044811139318409</v>
      </c>
      <c r="S152" s="12">
        <f t="shared" si="11"/>
        <v>1.2580198476805908</v>
      </c>
    </row>
    <row r="153" spans="1:19" x14ac:dyDescent="0.25">
      <c r="A153" s="15">
        <v>41453</v>
      </c>
      <c r="B153">
        <v>1.3009999999999999</v>
      </c>
      <c r="D153" s="15">
        <v>41453</v>
      </c>
      <c r="E153">
        <v>1.22916</v>
      </c>
      <c r="G153" s="15">
        <v>41453</v>
      </c>
      <c r="H153">
        <v>1.3686100000000001</v>
      </c>
      <c r="J153" s="15">
        <v>41453</v>
      </c>
      <c r="K153">
        <v>1.4236500000000001</v>
      </c>
      <c r="M153" s="15">
        <v>41453</v>
      </c>
      <c r="N153">
        <v>1.6813</v>
      </c>
      <c r="P153" s="12">
        <f t="shared" si="8"/>
        <v>0.94478093774019989</v>
      </c>
      <c r="Q153" s="12">
        <f t="shared" si="9"/>
        <v>1.0519677171406612</v>
      </c>
      <c r="R153" s="12">
        <f t="shared" si="10"/>
        <v>1.0942736356648732</v>
      </c>
      <c r="S153" s="12">
        <f t="shared" si="11"/>
        <v>1.2923136049192929</v>
      </c>
    </row>
    <row r="154" spans="1:19" x14ac:dyDescent="0.25">
      <c r="A154" s="15">
        <v>41486</v>
      </c>
      <c r="B154">
        <v>1.3275999999999999</v>
      </c>
      <c r="D154" s="15">
        <v>41486</v>
      </c>
      <c r="E154">
        <v>1.23261</v>
      </c>
      <c r="G154" s="15">
        <v>41486</v>
      </c>
      <c r="H154">
        <v>1.3658399999999999</v>
      </c>
      <c r="J154" s="15">
        <v>41486</v>
      </c>
      <c r="K154">
        <v>1.48126</v>
      </c>
      <c r="M154" s="15">
        <v>41486</v>
      </c>
      <c r="N154">
        <v>1.6669</v>
      </c>
      <c r="P154" s="12">
        <f t="shared" si="8"/>
        <v>0.92844983428743599</v>
      </c>
      <c r="Q154" s="12">
        <f t="shared" si="9"/>
        <v>1.0288038565833082</v>
      </c>
      <c r="R154" s="12">
        <f t="shared" si="10"/>
        <v>1.1157426935824044</v>
      </c>
      <c r="S154" s="12">
        <f t="shared" si="11"/>
        <v>1.2555739680626696</v>
      </c>
    </row>
    <row r="155" spans="1:19" x14ac:dyDescent="0.25">
      <c r="A155" s="15">
        <v>41516</v>
      </c>
      <c r="B155">
        <v>1.3222</v>
      </c>
      <c r="D155" s="15">
        <v>41516</v>
      </c>
      <c r="E155">
        <v>1.2294499999999999</v>
      </c>
      <c r="G155" s="15">
        <v>41516</v>
      </c>
      <c r="H155">
        <v>1.3932</v>
      </c>
      <c r="J155" s="15">
        <v>41516</v>
      </c>
      <c r="K155">
        <v>1.4855499999999999</v>
      </c>
      <c r="M155" s="15">
        <v>41516</v>
      </c>
      <c r="N155">
        <v>1.7110000000000001</v>
      </c>
      <c r="P155" s="12">
        <f t="shared" si="8"/>
        <v>0.92985176221449095</v>
      </c>
      <c r="Q155" s="12">
        <f t="shared" si="9"/>
        <v>1.0536983814854031</v>
      </c>
      <c r="R155" s="12">
        <f t="shared" si="10"/>
        <v>1.1235440931780365</v>
      </c>
      <c r="S155" s="12">
        <f t="shared" si="11"/>
        <v>1.2940553622749962</v>
      </c>
    </row>
    <row r="156" spans="1:19" x14ac:dyDescent="0.25">
      <c r="A156" s="15">
        <v>41547</v>
      </c>
      <c r="B156">
        <v>1.3532</v>
      </c>
      <c r="D156" s="15">
        <v>41547</v>
      </c>
      <c r="E156">
        <v>1.2238599999999999</v>
      </c>
      <c r="G156" s="15">
        <v>41547</v>
      </c>
      <c r="H156">
        <v>1.3931899999999999</v>
      </c>
      <c r="J156" s="15">
        <v>41547</v>
      </c>
      <c r="K156">
        <v>1.4492</v>
      </c>
      <c r="M156" s="15">
        <v>41547</v>
      </c>
      <c r="N156">
        <v>1.6262000000000001</v>
      </c>
      <c r="P156" s="12">
        <f t="shared" si="8"/>
        <v>0.90441915459651201</v>
      </c>
      <c r="Q156" s="12">
        <f t="shared" si="9"/>
        <v>1.0295521726278452</v>
      </c>
      <c r="R156" s="12">
        <f t="shared" si="10"/>
        <v>1.0709429500443395</v>
      </c>
      <c r="S156" s="12">
        <f t="shared" si="11"/>
        <v>1.20174401418859</v>
      </c>
    </row>
    <row r="157" spans="1:19" x14ac:dyDescent="0.25">
      <c r="A157" s="15">
        <v>41578</v>
      </c>
      <c r="B157">
        <v>1.3599000000000001</v>
      </c>
      <c r="D157" s="15">
        <v>41578</v>
      </c>
      <c r="E157">
        <v>1.23038</v>
      </c>
      <c r="G157" s="15">
        <v>41578</v>
      </c>
      <c r="H157">
        <v>1.4183699999999999</v>
      </c>
      <c r="J157" s="15">
        <v>41578</v>
      </c>
      <c r="K157">
        <v>1.4371</v>
      </c>
      <c r="M157" s="15">
        <v>41578</v>
      </c>
      <c r="N157">
        <v>1.6446000000000001</v>
      </c>
      <c r="P157" s="12">
        <f t="shared" si="8"/>
        <v>0.90475770277226264</v>
      </c>
      <c r="Q157" s="12">
        <f t="shared" si="9"/>
        <v>1.0429958085153319</v>
      </c>
      <c r="R157" s="12">
        <f t="shared" si="10"/>
        <v>1.0567688800647106</v>
      </c>
      <c r="S157" s="12">
        <f t="shared" si="11"/>
        <v>1.2093536289433047</v>
      </c>
    </row>
    <row r="158" spans="1:19" x14ac:dyDescent="0.25">
      <c r="A158" s="15">
        <v>41607</v>
      </c>
      <c r="B158">
        <v>1.3591</v>
      </c>
      <c r="D158" s="15">
        <v>41607</v>
      </c>
      <c r="E158">
        <v>1.2316199999999999</v>
      </c>
      <c r="G158" s="15">
        <v>41607</v>
      </c>
      <c r="H158">
        <v>1.4425699999999999</v>
      </c>
      <c r="J158" s="15">
        <v>41607</v>
      </c>
      <c r="K158">
        <v>1.4922</v>
      </c>
      <c r="M158" s="15">
        <v>41607</v>
      </c>
      <c r="N158">
        <v>1.673</v>
      </c>
      <c r="P158" s="12">
        <f t="shared" si="8"/>
        <v>0.90620263409609292</v>
      </c>
      <c r="Q158" s="12">
        <f t="shared" si="9"/>
        <v>1.061415642704731</v>
      </c>
      <c r="R158" s="12">
        <f t="shared" si="10"/>
        <v>1.0979324553013023</v>
      </c>
      <c r="S158" s="12">
        <f t="shared" si="11"/>
        <v>1.2309616658082556</v>
      </c>
    </row>
    <row r="159" spans="1:19" x14ac:dyDescent="0.25">
      <c r="A159" s="15">
        <v>41639</v>
      </c>
      <c r="B159">
        <v>1.3789</v>
      </c>
      <c r="D159" s="15">
        <v>41639</v>
      </c>
      <c r="E159">
        <v>1.2253000000000001</v>
      </c>
      <c r="G159" s="15">
        <v>41639</v>
      </c>
      <c r="H159">
        <v>1.46546</v>
      </c>
      <c r="J159" s="15">
        <v>41639</v>
      </c>
      <c r="K159">
        <v>1.5446200000000001</v>
      </c>
      <c r="M159" s="15">
        <v>41639</v>
      </c>
      <c r="N159">
        <v>1.6738</v>
      </c>
      <c r="P159" s="12">
        <f t="shared" si="8"/>
        <v>0.88860686054101101</v>
      </c>
      <c r="Q159" s="12">
        <f t="shared" si="9"/>
        <v>1.0627746754659511</v>
      </c>
      <c r="R159" s="12">
        <f t="shared" si="10"/>
        <v>1.1201827543694249</v>
      </c>
      <c r="S159" s="12">
        <f t="shared" si="11"/>
        <v>1.2138661251722387</v>
      </c>
    </row>
    <row r="160" spans="1:19" x14ac:dyDescent="0.25">
      <c r="A160" s="15">
        <v>41670</v>
      </c>
      <c r="B160">
        <v>1.3486</v>
      </c>
      <c r="D160" s="15">
        <v>41670</v>
      </c>
      <c r="E160">
        <v>1.2223599999999999</v>
      </c>
      <c r="G160" s="15">
        <v>41670</v>
      </c>
      <c r="H160">
        <v>1.50091</v>
      </c>
      <c r="J160" s="15">
        <v>41670</v>
      </c>
      <c r="K160">
        <v>1.5404800000000001</v>
      </c>
      <c r="M160" s="15">
        <v>41670</v>
      </c>
      <c r="N160">
        <v>1.6678999999999999</v>
      </c>
      <c r="P160" s="12">
        <f t="shared" si="8"/>
        <v>0.90639181373275979</v>
      </c>
      <c r="Q160" s="12">
        <f t="shared" si="9"/>
        <v>1.112939344505413</v>
      </c>
      <c r="R160" s="12">
        <f t="shared" si="10"/>
        <v>1.1422808838795788</v>
      </c>
      <c r="S160" s="12">
        <f t="shared" si="11"/>
        <v>1.2367640516090761</v>
      </c>
    </row>
    <row r="161" spans="1:19" x14ac:dyDescent="0.25">
      <c r="A161" s="15">
        <v>41698</v>
      </c>
      <c r="B161">
        <v>1.3802000000000001</v>
      </c>
      <c r="D161" s="15">
        <v>41698</v>
      </c>
      <c r="E161">
        <v>1.2148600000000001</v>
      </c>
      <c r="G161" s="15">
        <v>41698</v>
      </c>
      <c r="H161">
        <v>1.52712</v>
      </c>
      <c r="J161" s="15">
        <v>41698</v>
      </c>
      <c r="K161">
        <v>1.54619</v>
      </c>
      <c r="M161" s="15">
        <v>41698</v>
      </c>
      <c r="N161">
        <v>1.6453</v>
      </c>
      <c r="P161" s="12">
        <f t="shared" si="8"/>
        <v>0.88020576728010436</v>
      </c>
      <c r="Q161" s="12">
        <f t="shared" si="9"/>
        <v>1.1064483408201709</v>
      </c>
      <c r="R161" s="12">
        <f t="shared" si="10"/>
        <v>1.120265178959571</v>
      </c>
      <c r="S161" s="12">
        <f t="shared" si="11"/>
        <v>1.1920736125199245</v>
      </c>
    </row>
    <row r="162" spans="1:19" x14ac:dyDescent="0.25">
      <c r="A162" s="15">
        <v>41729</v>
      </c>
      <c r="B162">
        <v>1.3772</v>
      </c>
      <c r="D162" s="15">
        <v>41729</v>
      </c>
      <c r="E162">
        <v>1.21767</v>
      </c>
      <c r="G162" s="15">
        <v>41729</v>
      </c>
      <c r="H162">
        <v>1.5203199999999999</v>
      </c>
      <c r="J162" s="15">
        <v>41729</v>
      </c>
      <c r="K162">
        <v>1.4855700000000001</v>
      </c>
      <c r="M162" s="15">
        <v>41729</v>
      </c>
      <c r="N162">
        <v>1.5878000000000001</v>
      </c>
      <c r="P162" s="12">
        <f t="shared" si="8"/>
        <v>0.8841635201858844</v>
      </c>
      <c r="Q162" s="12">
        <f t="shared" si="9"/>
        <v>1.1039209991286667</v>
      </c>
      <c r="R162" s="12">
        <f t="shared" si="10"/>
        <v>1.0786886436247458</v>
      </c>
      <c r="S162" s="12">
        <f t="shared" si="11"/>
        <v>1.1529189660180077</v>
      </c>
    </row>
    <row r="163" spans="1:19" x14ac:dyDescent="0.25">
      <c r="A163" s="15">
        <v>41759</v>
      </c>
      <c r="B163">
        <v>1.3866000000000001</v>
      </c>
      <c r="D163" s="15">
        <v>41759</v>
      </c>
      <c r="E163">
        <v>1.2207300000000001</v>
      </c>
      <c r="G163" s="15">
        <v>41759</v>
      </c>
      <c r="H163">
        <v>1.5183199999999999</v>
      </c>
      <c r="J163" s="15">
        <v>41759</v>
      </c>
      <c r="K163">
        <v>1.49499</v>
      </c>
      <c r="M163" s="15">
        <v>41759</v>
      </c>
      <c r="N163">
        <v>1.6120000000000001</v>
      </c>
      <c r="P163" s="12">
        <f t="shared" si="8"/>
        <v>0.88037646040675033</v>
      </c>
      <c r="Q163" s="12">
        <f t="shared" si="9"/>
        <v>1.0949949516803692</v>
      </c>
      <c r="R163" s="12">
        <f t="shared" si="10"/>
        <v>1.0781696235395932</v>
      </c>
      <c r="S163" s="12">
        <f t="shared" si="11"/>
        <v>1.1625558921101977</v>
      </c>
    </row>
    <row r="164" spans="1:19" x14ac:dyDescent="0.25">
      <c r="A164" s="15">
        <v>41789</v>
      </c>
      <c r="B164">
        <v>1.3634999999999999</v>
      </c>
      <c r="D164" s="15">
        <v>41789</v>
      </c>
      <c r="E164">
        <v>1.2205600000000001</v>
      </c>
      <c r="G164" s="15">
        <v>41789</v>
      </c>
      <c r="H164">
        <v>1.4788300000000001</v>
      </c>
      <c r="J164" s="15">
        <v>41789</v>
      </c>
      <c r="K164">
        <v>1.46438</v>
      </c>
      <c r="M164" s="15">
        <v>41789</v>
      </c>
      <c r="N164">
        <v>1.6042000000000001</v>
      </c>
      <c r="P164" s="12">
        <f t="shared" si="8"/>
        <v>0.89516685001833529</v>
      </c>
      <c r="Q164" s="12">
        <f t="shared" si="9"/>
        <v>1.0845837917125047</v>
      </c>
      <c r="R164" s="12">
        <f t="shared" si="10"/>
        <v>1.0739860652731941</v>
      </c>
      <c r="S164" s="12">
        <f t="shared" si="11"/>
        <v>1.1765309864319766</v>
      </c>
    </row>
    <row r="165" spans="1:19" x14ac:dyDescent="0.25">
      <c r="A165" s="15">
        <v>41820</v>
      </c>
      <c r="B165">
        <v>1.369</v>
      </c>
      <c r="D165" s="15">
        <v>41820</v>
      </c>
      <c r="E165">
        <v>1.21451</v>
      </c>
      <c r="G165" s="15">
        <v>41820</v>
      </c>
      <c r="H165">
        <v>1.4602299999999999</v>
      </c>
      <c r="J165" s="15">
        <v>41820</v>
      </c>
      <c r="K165">
        <v>1.4527600000000001</v>
      </c>
      <c r="M165" s="15">
        <v>41820</v>
      </c>
      <c r="N165">
        <v>1.5648</v>
      </c>
      <c r="P165" s="12">
        <f t="shared" si="8"/>
        <v>0.88715120525931335</v>
      </c>
      <c r="Q165" s="12">
        <f t="shared" si="9"/>
        <v>1.0666398831263695</v>
      </c>
      <c r="R165" s="12">
        <f t="shared" si="10"/>
        <v>1.0611833455076698</v>
      </c>
      <c r="S165" s="12">
        <f t="shared" si="11"/>
        <v>1.1430241051862673</v>
      </c>
    </row>
    <row r="166" spans="1:19" x14ac:dyDescent="0.25">
      <c r="A166" s="15">
        <v>41851</v>
      </c>
      <c r="B166">
        <v>1.3385</v>
      </c>
      <c r="D166" s="15">
        <v>41851</v>
      </c>
      <c r="E166">
        <v>1.21661</v>
      </c>
      <c r="G166" s="15">
        <v>41851</v>
      </c>
      <c r="H166">
        <v>1.4583200000000001</v>
      </c>
      <c r="J166" s="15">
        <v>41851</v>
      </c>
      <c r="K166">
        <v>1.43984</v>
      </c>
      <c r="M166" s="15">
        <v>41851</v>
      </c>
      <c r="N166">
        <v>1.5781000000000001</v>
      </c>
      <c r="P166" s="12">
        <f t="shared" si="8"/>
        <v>0.90893537542024649</v>
      </c>
      <c r="Q166" s="12">
        <f t="shared" si="9"/>
        <v>1.08951811729548</v>
      </c>
      <c r="R166" s="12">
        <f t="shared" si="10"/>
        <v>1.0757116174822563</v>
      </c>
      <c r="S166" s="12">
        <f t="shared" si="11"/>
        <v>1.1790063503922301</v>
      </c>
    </row>
    <row r="167" spans="1:19" x14ac:dyDescent="0.25">
      <c r="A167" s="15">
        <v>41880</v>
      </c>
      <c r="B167">
        <v>1.3131999999999999</v>
      </c>
      <c r="D167" s="15">
        <v>41880</v>
      </c>
      <c r="E167">
        <v>1.2061999999999999</v>
      </c>
      <c r="G167" s="15">
        <v>41880</v>
      </c>
      <c r="H167">
        <v>1.42862</v>
      </c>
      <c r="J167" s="15">
        <v>41880</v>
      </c>
      <c r="K167">
        <v>1.40622</v>
      </c>
      <c r="M167" s="15">
        <v>41880</v>
      </c>
      <c r="N167">
        <v>1.5705</v>
      </c>
      <c r="P167" s="12">
        <f t="shared" si="8"/>
        <v>0.91851964666463604</v>
      </c>
      <c r="Q167" s="12">
        <f t="shared" si="9"/>
        <v>1.0878921717940908</v>
      </c>
      <c r="R167" s="12">
        <f t="shared" si="10"/>
        <v>1.0708346024977156</v>
      </c>
      <c r="S167" s="12">
        <f t="shared" si="11"/>
        <v>1.1959335973195249</v>
      </c>
    </row>
    <row r="168" spans="1:19" x14ac:dyDescent="0.25">
      <c r="A168" s="15">
        <v>41912</v>
      </c>
      <c r="B168">
        <v>1.2628999999999999</v>
      </c>
      <c r="D168" s="15">
        <v>41912</v>
      </c>
      <c r="E168">
        <v>1.2057100000000001</v>
      </c>
      <c r="G168" s="15">
        <v>41912</v>
      </c>
      <c r="H168">
        <v>1.41553</v>
      </c>
      <c r="J168" s="15">
        <v>41912</v>
      </c>
      <c r="K168">
        <v>1.44513</v>
      </c>
      <c r="M168" s="15">
        <v>41912</v>
      </c>
      <c r="N168">
        <v>1.6213</v>
      </c>
      <c r="P168" s="12">
        <f t="shared" si="8"/>
        <v>0.95471533771478356</v>
      </c>
      <c r="Q168" s="12">
        <f t="shared" si="9"/>
        <v>1.1208567582548103</v>
      </c>
      <c r="R168" s="12">
        <f t="shared" si="10"/>
        <v>1.1442948768706946</v>
      </c>
      <c r="S168" s="12">
        <f t="shared" si="11"/>
        <v>1.2837912740517856</v>
      </c>
    </row>
    <row r="169" spans="1:19" x14ac:dyDescent="0.25">
      <c r="A169" s="15">
        <v>41943</v>
      </c>
      <c r="B169">
        <v>1.2524999999999999</v>
      </c>
      <c r="D169" s="15">
        <v>41943</v>
      </c>
      <c r="E169">
        <v>1.2057100000000001</v>
      </c>
      <c r="G169" s="15">
        <v>41943</v>
      </c>
      <c r="H169">
        <v>1.41113</v>
      </c>
      <c r="J169" s="15">
        <v>41943</v>
      </c>
      <c r="K169">
        <v>1.42364</v>
      </c>
      <c r="M169" s="15">
        <v>41943</v>
      </c>
      <c r="N169">
        <v>1.6076999999999999</v>
      </c>
      <c r="P169" s="12">
        <f t="shared" si="8"/>
        <v>0.96264271457085837</v>
      </c>
      <c r="Q169" s="12">
        <f t="shared" si="9"/>
        <v>1.1266506986027944</v>
      </c>
      <c r="R169" s="12">
        <f t="shared" si="10"/>
        <v>1.1366387225548902</v>
      </c>
      <c r="S169" s="12">
        <f t="shared" si="11"/>
        <v>1.2835928143712574</v>
      </c>
    </row>
    <row r="170" spans="1:19" x14ac:dyDescent="0.25">
      <c r="A170" s="15">
        <v>41971</v>
      </c>
      <c r="B170">
        <v>1.2452000000000001</v>
      </c>
      <c r="D170" s="15">
        <v>41971</v>
      </c>
      <c r="E170">
        <v>1.2021500000000001</v>
      </c>
      <c r="G170" s="15">
        <v>41971</v>
      </c>
      <c r="H170">
        <v>1.4214800000000001</v>
      </c>
      <c r="J170" s="15">
        <v>41971</v>
      </c>
      <c r="K170">
        <v>1.4638800000000001</v>
      </c>
      <c r="M170" s="15">
        <v>41971</v>
      </c>
      <c r="N170">
        <v>1.5878000000000001</v>
      </c>
      <c r="P170" s="12">
        <f t="shared" si="8"/>
        <v>0.96542724060391905</v>
      </c>
      <c r="Q170" s="12">
        <f t="shared" si="9"/>
        <v>1.1415676196594924</v>
      </c>
      <c r="R170" s="12">
        <f t="shared" si="10"/>
        <v>1.1756183745583038</v>
      </c>
      <c r="S170" s="12">
        <f t="shared" si="11"/>
        <v>1.2751365242531321</v>
      </c>
    </row>
    <row r="171" spans="1:19" x14ac:dyDescent="0.25">
      <c r="A171" s="15">
        <v>42004</v>
      </c>
      <c r="B171">
        <v>1.21</v>
      </c>
      <c r="D171" s="15">
        <v>42004</v>
      </c>
      <c r="E171">
        <v>1.20258</v>
      </c>
      <c r="G171" s="15">
        <v>42004</v>
      </c>
      <c r="H171">
        <v>1.4054199999999999</v>
      </c>
      <c r="J171" s="15">
        <v>42004</v>
      </c>
      <c r="K171">
        <v>1.4819599999999999</v>
      </c>
      <c r="M171" s="15">
        <v>42004</v>
      </c>
      <c r="N171">
        <v>1.5523</v>
      </c>
      <c r="P171" s="12">
        <f t="shared" si="8"/>
        <v>0.99386776859504133</v>
      </c>
      <c r="Q171" s="12">
        <f t="shared" si="9"/>
        <v>1.1615041322314048</v>
      </c>
      <c r="R171" s="12">
        <f t="shared" si="10"/>
        <v>1.2247603305785124</v>
      </c>
      <c r="S171" s="12">
        <f t="shared" si="11"/>
        <v>1.282892561983471</v>
      </c>
    </row>
    <row r="172" spans="1:19" x14ac:dyDescent="0.25">
      <c r="A172" s="15">
        <v>42034</v>
      </c>
      <c r="B172">
        <v>1.1291</v>
      </c>
      <c r="D172" s="15">
        <v>42034</v>
      </c>
      <c r="E172">
        <v>1.0391699999999999</v>
      </c>
      <c r="G172" s="15">
        <v>42034</v>
      </c>
      <c r="H172">
        <v>1.4372199999999999</v>
      </c>
      <c r="J172" s="15">
        <v>42034</v>
      </c>
      <c r="K172">
        <v>1.4546399999999999</v>
      </c>
      <c r="M172" s="15">
        <v>42034</v>
      </c>
      <c r="N172">
        <v>1.5555000000000001</v>
      </c>
      <c r="P172" s="12">
        <f t="shared" si="8"/>
        <v>0.9203524931361261</v>
      </c>
      <c r="Q172" s="12">
        <f t="shared" si="9"/>
        <v>1.2728899123195465</v>
      </c>
      <c r="R172" s="12">
        <f t="shared" si="10"/>
        <v>1.2883181294836594</v>
      </c>
      <c r="S172" s="12">
        <f t="shared" si="11"/>
        <v>1.3776459126738112</v>
      </c>
    </row>
    <row r="173" spans="1:19" x14ac:dyDescent="0.25">
      <c r="A173" s="15">
        <v>42062</v>
      </c>
      <c r="B173">
        <v>1.1195999999999999</v>
      </c>
      <c r="D173" s="15">
        <v>42062</v>
      </c>
      <c r="E173">
        <v>1.06802</v>
      </c>
      <c r="G173" s="15">
        <v>42062</v>
      </c>
      <c r="H173">
        <v>1.4009</v>
      </c>
      <c r="J173" s="15">
        <v>42062</v>
      </c>
      <c r="K173">
        <v>1.4335100000000001</v>
      </c>
      <c r="M173" s="15">
        <v>42062</v>
      </c>
      <c r="N173">
        <v>1.4802</v>
      </c>
      <c r="P173" s="12">
        <f t="shared" si="8"/>
        <v>0.95392997499106824</v>
      </c>
      <c r="Q173" s="12">
        <f t="shared" si="9"/>
        <v>1.2512504465880672</v>
      </c>
      <c r="R173" s="12">
        <f t="shared" si="10"/>
        <v>1.280376920328689</v>
      </c>
      <c r="S173" s="12">
        <f t="shared" si="11"/>
        <v>1.322079314040729</v>
      </c>
    </row>
    <row r="174" spans="1:19" x14ac:dyDescent="0.25">
      <c r="A174" s="15">
        <v>42094</v>
      </c>
      <c r="B174">
        <v>1.0728</v>
      </c>
      <c r="D174" s="15">
        <v>42094</v>
      </c>
      <c r="E174">
        <v>1.0436799999999999</v>
      </c>
      <c r="G174" s="15">
        <v>42094</v>
      </c>
      <c r="H174">
        <v>1.3601799999999999</v>
      </c>
      <c r="J174" s="15">
        <v>42094</v>
      </c>
      <c r="K174">
        <v>1.4082300000000001</v>
      </c>
      <c r="M174" s="15">
        <v>42094</v>
      </c>
      <c r="N174">
        <v>1.4352</v>
      </c>
      <c r="P174" s="12">
        <f t="shared" si="8"/>
        <v>0.97285607755406411</v>
      </c>
      <c r="Q174" s="12">
        <f t="shared" si="9"/>
        <v>1.2678784489187174</v>
      </c>
      <c r="R174" s="12">
        <f t="shared" si="10"/>
        <v>1.3126677852348994</v>
      </c>
      <c r="S174" s="12">
        <f t="shared" si="11"/>
        <v>1.3378076062639821</v>
      </c>
    </row>
    <row r="175" spans="1:19" x14ac:dyDescent="0.25">
      <c r="A175" s="15">
        <v>42124</v>
      </c>
      <c r="B175">
        <v>1.1214</v>
      </c>
      <c r="D175" s="15">
        <v>42124</v>
      </c>
      <c r="E175">
        <v>1.0521400000000001</v>
      </c>
      <c r="G175" s="15">
        <v>42124</v>
      </c>
      <c r="H175">
        <v>1.35606</v>
      </c>
      <c r="J175" s="15">
        <v>42124</v>
      </c>
      <c r="K175">
        <v>1.4201699999999999</v>
      </c>
      <c r="M175" s="15">
        <v>42124</v>
      </c>
      <c r="N175">
        <v>1.4732000000000001</v>
      </c>
      <c r="P175" s="12">
        <f t="shared" si="8"/>
        <v>0.93823791688960234</v>
      </c>
      <c r="Q175" s="12">
        <f t="shared" si="9"/>
        <v>1.2092562867843768</v>
      </c>
      <c r="R175" s="12">
        <f t="shared" si="10"/>
        <v>1.2664258962011772</v>
      </c>
      <c r="S175" s="12">
        <f t="shared" si="11"/>
        <v>1.3137149991082577</v>
      </c>
    </row>
    <row r="176" spans="1:19" x14ac:dyDescent="0.25">
      <c r="A176" s="15">
        <v>42153</v>
      </c>
      <c r="B176">
        <v>1.0986</v>
      </c>
      <c r="D176" s="15">
        <v>42153</v>
      </c>
      <c r="E176">
        <v>1.0338400000000001</v>
      </c>
      <c r="G176" s="15">
        <v>42153</v>
      </c>
      <c r="H176">
        <v>1.36792</v>
      </c>
      <c r="J176" s="15">
        <v>42153</v>
      </c>
      <c r="K176">
        <v>1.4367099999999999</v>
      </c>
      <c r="M176" s="15">
        <v>42153</v>
      </c>
      <c r="N176">
        <v>1.5462</v>
      </c>
      <c r="P176" s="12">
        <f t="shared" si="8"/>
        <v>0.94105224831603862</v>
      </c>
      <c r="Q176" s="12">
        <f t="shared" si="9"/>
        <v>1.2451483706535591</v>
      </c>
      <c r="R176" s="12">
        <f t="shared" si="10"/>
        <v>1.3077644274531222</v>
      </c>
      <c r="S176" s="12">
        <f t="shared" si="11"/>
        <v>1.4074276351720372</v>
      </c>
    </row>
    <row r="177" spans="1:19" x14ac:dyDescent="0.25">
      <c r="A177" s="15">
        <v>42185</v>
      </c>
      <c r="B177">
        <v>1.1153</v>
      </c>
      <c r="D177" s="15">
        <v>42185</v>
      </c>
      <c r="E177">
        <v>1.04304</v>
      </c>
      <c r="G177" s="15">
        <v>42185</v>
      </c>
      <c r="H177">
        <v>1.3921699999999999</v>
      </c>
      <c r="J177" s="15">
        <v>42185</v>
      </c>
      <c r="K177">
        <v>1.4468000000000001</v>
      </c>
      <c r="M177" s="15">
        <v>42185</v>
      </c>
      <c r="N177">
        <v>1.6466000000000001</v>
      </c>
      <c r="P177" s="12">
        <f t="shared" si="8"/>
        <v>0.9352102573298664</v>
      </c>
      <c r="Q177" s="12">
        <f t="shared" si="9"/>
        <v>1.2482471084013269</v>
      </c>
      <c r="R177" s="12">
        <f t="shared" si="10"/>
        <v>1.2972294449923789</v>
      </c>
      <c r="S177" s="12">
        <f t="shared" si="11"/>
        <v>1.4763740697570162</v>
      </c>
    </row>
    <row r="178" spans="1:19" x14ac:dyDescent="0.25">
      <c r="A178" s="15">
        <v>42216</v>
      </c>
      <c r="B178">
        <v>1.0984</v>
      </c>
      <c r="D178" s="15">
        <v>42216</v>
      </c>
      <c r="E178">
        <v>1.06193</v>
      </c>
      <c r="G178" s="15">
        <v>42216</v>
      </c>
      <c r="H178">
        <v>1.4378599999999999</v>
      </c>
      <c r="J178" s="15">
        <v>42216</v>
      </c>
      <c r="K178">
        <v>1.5028699999999999</v>
      </c>
      <c r="M178" s="15">
        <v>42216</v>
      </c>
      <c r="N178">
        <v>1.6660999999999999</v>
      </c>
      <c r="P178" s="12">
        <f t="shared" si="8"/>
        <v>0.9667971595047341</v>
      </c>
      <c r="Q178" s="12">
        <f t="shared" si="9"/>
        <v>1.3090495265841222</v>
      </c>
      <c r="R178" s="12">
        <f t="shared" si="10"/>
        <v>1.3682356154406408</v>
      </c>
      <c r="S178" s="12">
        <f t="shared" si="11"/>
        <v>1.5168426802621995</v>
      </c>
    </row>
    <row r="179" spans="1:19" x14ac:dyDescent="0.25">
      <c r="A179" s="15">
        <v>42247</v>
      </c>
      <c r="B179">
        <v>1.1204000000000001</v>
      </c>
      <c r="D179" s="15">
        <v>42247</v>
      </c>
      <c r="E179">
        <v>1.0833999999999999</v>
      </c>
      <c r="G179" s="15">
        <v>42247</v>
      </c>
      <c r="H179">
        <v>1.4802</v>
      </c>
      <c r="J179" s="15">
        <v>42247</v>
      </c>
      <c r="K179">
        <v>1.5738399999999999</v>
      </c>
      <c r="M179" s="15">
        <v>42247</v>
      </c>
      <c r="N179">
        <v>1.7611000000000001</v>
      </c>
      <c r="P179" s="12">
        <f t="shared" si="8"/>
        <v>0.96697607997143864</v>
      </c>
      <c r="Q179" s="12">
        <f t="shared" si="9"/>
        <v>1.3211353088182791</v>
      </c>
      <c r="R179" s="12">
        <f t="shared" si="10"/>
        <v>1.4047126026419134</v>
      </c>
      <c r="S179" s="12">
        <f t="shared" si="11"/>
        <v>1.5718493395215993</v>
      </c>
    </row>
    <row r="180" spans="1:19" x14ac:dyDescent="0.25">
      <c r="A180" s="15">
        <v>42277</v>
      </c>
      <c r="B180">
        <v>1.1182000000000001</v>
      </c>
      <c r="D180" s="15">
        <v>42277</v>
      </c>
      <c r="E180">
        <v>1.09006</v>
      </c>
      <c r="G180" s="15">
        <v>42277</v>
      </c>
      <c r="H180">
        <v>1.49814</v>
      </c>
      <c r="J180" s="15">
        <v>42277</v>
      </c>
      <c r="K180">
        <v>1.5942700000000001</v>
      </c>
      <c r="M180" s="15">
        <v>42277</v>
      </c>
      <c r="N180">
        <v>1.7504</v>
      </c>
      <c r="P180" s="12">
        <f t="shared" si="8"/>
        <v>0.97483455553568232</v>
      </c>
      <c r="Q180" s="12">
        <f t="shared" si="9"/>
        <v>1.3397782149883741</v>
      </c>
      <c r="R180" s="12">
        <f t="shared" si="10"/>
        <v>1.4257467358254337</v>
      </c>
      <c r="S180" s="12">
        <f t="shared" si="11"/>
        <v>1.5653729207655158</v>
      </c>
    </row>
    <row r="181" spans="1:19" x14ac:dyDescent="0.25">
      <c r="A181" s="15">
        <v>42307</v>
      </c>
      <c r="B181">
        <v>1.1006</v>
      </c>
      <c r="D181" s="15">
        <v>42307</v>
      </c>
      <c r="E181">
        <v>1.08728</v>
      </c>
      <c r="G181" s="15">
        <v>42307</v>
      </c>
      <c r="H181">
        <v>1.43943</v>
      </c>
      <c r="J181" s="15">
        <v>42307</v>
      </c>
      <c r="K181">
        <v>1.5419799999999999</v>
      </c>
      <c r="M181" s="15">
        <v>42307</v>
      </c>
      <c r="N181">
        <v>1.6241000000000001</v>
      </c>
      <c r="P181" s="12">
        <f t="shared" si="8"/>
        <v>0.98789751044884611</v>
      </c>
      <c r="Q181" s="12">
        <f t="shared" si="9"/>
        <v>1.3078593494457569</v>
      </c>
      <c r="R181" s="12">
        <f t="shared" si="10"/>
        <v>1.4010357986552788</v>
      </c>
      <c r="S181" s="12">
        <f t="shared" si="11"/>
        <v>1.4756496456478285</v>
      </c>
    </row>
    <row r="182" spans="1:19" x14ac:dyDescent="0.25">
      <c r="A182" s="15">
        <v>42338</v>
      </c>
      <c r="B182">
        <v>1.056</v>
      </c>
      <c r="D182" s="15">
        <v>42338</v>
      </c>
      <c r="E182">
        <v>1.0850299999999999</v>
      </c>
      <c r="G182" s="15">
        <v>42338</v>
      </c>
      <c r="H182">
        <v>1.40998</v>
      </c>
      <c r="J182" s="15">
        <v>42338</v>
      </c>
      <c r="K182">
        <v>1.46004</v>
      </c>
      <c r="M182" s="15">
        <v>42338</v>
      </c>
      <c r="N182">
        <v>1.6054999999999999</v>
      </c>
      <c r="P182" s="12">
        <f t="shared" si="8"/>
        <v>1.0274905303030302</v>
      </c>
      <c r="Q182" s="12">
        <f t="shared" si="9"/>
        <v>1.3352083333333333</v>
      </c>
      <c r="R182" s="12">
        <f t="shared" si="10"/>
        <v>1.3826136363636363</v>
      </c>
      <c r="S182" s="12">
        <f t="shared" si="11"/>
        <v>1.5203598484848484</v>
      </c>
    </row>
    <row r="183" spans="1:19" x14ac:dyDescent="0.25">
      <c r="A183" s="15">
        <v>42369</v>
      </c>
      <c r="B183">
        <v>1.0866</v>
      </c>
      <c r="D183" s="15">
        <v>42369</v>
      </c>
      <c r="E183">
        <v>1.08633</v>
      </c>
      <c r="G183" s="15">
        <v>42369</v>
      </c>
      <c r="H183">
        <v>1.50254</v>
      </c>
      <c r="J183" s="15">
        <v>42369</v>
      </c>
      <c r="K183">
        <v>1.49054</v>
      </c>
      <c r="M183" s="15">
        <v>42369</v>
      </c>
      <c r="N183">
        <v>1.5888</v>
      </c>
      <c r="P183" s="12">
        <f t="shared" si="8"/>
        <v>0.99975151849806743</v>
      </c>
      <c r="Q183" s="12">
        <f t="shared" si="9"/>
        <v>1.3827903552365175</v>
      </c>
      <c r="R183" s="12">
        <f t="shared" si="10"/>
        <v>1.3717467329284005</v>
      </c>
      <c r="S183" s="12">
        <f t="shared" si="11"/>
        <v>1.462175593594699</v>
      </c>
    </row>
    <row r="184" spans="1:19" x14ac:dyDescent="0.25">
      <c r="A184" s="15">
        <v>42398</v>
      </c>
      <c r="B184">
        <v>1.0831</v>
      </c>
      <c r="D184" s="15">
        <v>42398</v>
      </c>
      <c r="E184">
        <v>1.1077600000000001</v>
      </c>
      <c r="G184" s="15">
        <v>42398</v>
      </c>
      <c r="H184">
        <v>1.51359</v>
      </c>
      <c r="J184" s="15">
        <v>42398</v>
      </c>
      <c r="K184">
        <v>1.52898</v>
      </c>
      <c r="M184" s="15">
        <v>42398</v>
      </c>
      <c r="N184">
        <v>1.6707000000000001</v>
      </c>
      <c r="P184" s="12">
        <f t="shared" si="8"/>
        <v>1.0227679807958638</v>
      </c>
      <c r="Q184" s="12">
        <f t="shared" si="9"/>
        <v>1.3974609915981904</v>
      </c>
      <c r="R184" s="12">
        <f t="shared" si="10"/>
        <v>1.4116702058904995</v>
      </c>
      <c r="S184" s="12">
        <f t="shared" si="11"/>
        <v>1.5425168497830304</v>
      </c>
    </row>
    <row r="185" spans="1:19" x14ac:dyDescent="0.25">
      <c r="A185" s="15">
        <v>42429</v>
      </c>
      <c r="B185">
        <v>1.0874999999999999</v>
      </c>
      <c r="D185" s="15">
        <v>42429</v>
      </c>
      <c r="E185">
        <v>1.08375</v>
      </c>
      <c r="G185" s="15">
        <v>42429</v>
      </c>
      <c r="H185">
        <v>1.4716800000000001</v>
      </c>
      <c r="J185" s="15">
        <v>42429</v>
      </c>
      <c r="K185">
        <v>1.52098</v>
      </c>
      <c r="M185" s="15">
        <v>42429</v>
      </c>
      <c r="N185">
        <v>1.6484000000000001</v>
      </c>
      <c r="P185" s="12">
        <f t="shared" si="8"/>
        <v>0.99655172413793114</v>
      </c>
      <c r="Q185" s="12">
        <f t="shared" si="9"/>
        <v>1.3532689655172416</v>
      </c>
      <c r="R185" s="12">
        <f t="shared" si="10"/>
        <v>1.3986022988505749</v>
      </c>
      <c r="S185" s="12">
        <f t="shared" si="11"/>
        <v>1.5157701149425289</v>
      </c>
    </row>
    <row r="186" spans="1:19" x14ac:dyDescent="0.25">
      <c r="A186" s="15">
        <v>42460</v>
      </c>
      <c r="B186">
        <v>1.1380999999999999</v>
      </c>
      <c r="D186" s="15">
        <v>42460</v>
      </c>
      <c r="E186">
        <v>1.09135</v>
      </c>
      <c r="G186" s="15">
        <v>42460</v>
      </c>
      <c r="H186">
        <v>1.47685</v>
      </c>
      <c r="J186" s="15">
        <v>42460</v>
      </c>
      <c r="K186">
        <v>1.48369</v>
      </c>
      <c r="M186" s="15">
        <v>42460</v>
      </c>
      <c r="N186">
        <v>1.6455</v>
      </c>
      <c r="P186" s="12">
        <f t="shared" si="8"/>
        <v>0.95892276601353144</v>
      </c>
      <c r="Q186" s="12">
        <f t="shared" si="9"/>
        <v>1.2976451981372463</v>
      </c>
      <c r="R186" s="12">
        <f t="shared" si="10"/>
        <v>1.3036552148317373</v>
      </c>
      <c r="S186" s="12">
        <f t="shared" si="11"/>
        <v>1.4458307705825499</v>
      </c>
    </row>
    <row r="187" spans="1:19" x14ac:dyDescent="0.25">
      <c r="A187" s="15">
        <v>42489</v>
      </c>
      <c r="B187">
        <v>1.1451</v>
      </c>
      <c r="D187" s="15">
        <v>42489</v>
      </c>
      <c r="E187">
        <v>1.09812</v>
      </c>
      <c r="G187" s="15">
        <v>42489</v>
      </c>
      <c r="H187">
        <v>1.4378200000000001</v>
      </c>
      <c r="J187" s="15">
        <v>42489</v>
      </c>
      <c r="K187">
        <v>1.5053700000000001</v>
      </c>
      <c r="M187" s="15">
        <v>42489</v>
      </c>
      <c r="N187">
        <v>1.641</v>
      </c>
      <c r="P187" s="12">
        <f t="shared" si="8"/>
        <v>0.95897301545716529</v>
      </c>
      <c r="Q187" s="12">
        <f t="shared" si="9"/>
        <v>1.2556283294035455</v>
      </c>
      <c r="R187" s="12">
        <f t="shared" si="10"/>
        <v>1.3146188105842285</v>
      </c>
      <c r="S187" s="12">
        <f t="shared" si="11"/>
        <v>1.4330626146188106</v>
      </c>
    </row>
    <row r="188" spans="1:19" x14ac:dyDescent="0.25">
      <c r="A188" s="15">
        <v>42521</v>
      </c>
      <c r="B188">
        <v>1.1138999999999999</v>
      </c>
      <c r="D188" s="15">
        <v>42521</v>
      </c>
      <c r="E188">
        <v>1.10615</v>
      </c>
      <c r="G188" s="15">
        <v>42521</v>
      </c>
      <c r="H188">
        <v>1.4590000000000001</v>
      </c>
      <c r="J188" s="15">
        <v>42521</v>
      </c>
      <c r="K188">
        <v>1.5398400000000001</v>
      </c>
      <c r="M188" s="15">
        <v>42521</v>
      </c>
      <c r="N188">
        <v>1.6477999999999999</v>
      </c>
      <c r="P188" s="12">
        <f t="shared" si="8"/>
        <v>0.9930424634168239</v>
      </c>
      <c r="Q188" s="12">
        <f t="shared" si="9"/>
        <v>1.3098123709489184</v>
      </c>
      <c r="R188" s="12">
        <f t="shared" si="10"/>
        <v>1.3823862106113658</v>
      </c>
      <c r="S188" s="12">
        <f t="shared" si="11"/>
        <v>1.47930693958165</v>
      </c>
    </row>
    <row r="189" spans="1:19" x14ac:dyDescent="0.25">
      <c r="A189" s="15">
        <v>42551</v>
      </c>
      <c r="B189">
        <v>1.1073</v>
      </c>
      <c r="D189" s="15">
        <v>42551</v>
      </c>
      <c r="E189">
        <v>1.0821400000000001</v>
      </c>
      <c r="G189" s="15">
        <v>42551</v>
      </c>
      <c r="H189">
        <v>1.43719</v>
      </c>
      <c r="J189" s="15">
        <v>42551</v>
      </c>
      <c r="K189">
        <v>1.4869699999999999</v>
      </c>
      <c r="M189" s="15">
        <v>42551</v>
      </c>
      <c r="N189">
        <v>1.5548</v>
      </c>
      <c r="P189" s="12">
        <f t="shared" si="8"/>
        <v>0.97727806375869242</v>
      </c>
      <c r="Q189" s="12">
        <f t="shared" si="9"/>
        <v>1.2979228754628376</v>
      </c>
      <c r="R189" s="12">
        <f t="shared" si="10"/>
        <v>1.3428790752280322</v>
      </c>
      <c r="S189" s="12">
        <f t="shared" si="11"/>
        <v>1.4041361871218279</v>
      </c>
    </row>
    <row r="190" spans="1:19" x14ac:dyDescent="0.25">
      <c r="A190" s="15">
        <v>42580</v>
      </c>
      <c r="B190">
        <v>1.1173999999999999</v>
      </c>
      <c r="D190" s="15">
        <v>42580</v>
      </c>
      <c r="E190">
        <v>1.0832299999999999</v>
      </c>
      <c r="G190" s="15">
        <v>42580</v>
      </c>
      <c r="H190">
        <v>1.4561900000000001</v>
      </c>
      <c r="J190" s="15">
        <v>42580</v>
      </c>
      <c r="K190">
        <v>1.4706600000000001</v>
      </c>
      <c r="M190" s="15">
        <v>42580</v>
      </c>
      <c r="N190">
        <v>1.5536000000000001</v>
      </c>
      <c r="P190" s="12">
        <f t="shared" si="8"/>
        <v>0.96942008233398957</v>
      </c>
      <c r="Q190" s="12">
        <f t="shared" si="9"/>
        <v>1.3031949167710759</v>
      </c>
      <c r="R190" s="12">
        <f t="shared" si="10"/>
        <v>1.3161446214426349</v>
      </c>
      <c r="S190" s="12">
        <f t="shared" si="11"/>
        <v>1.3903705029532845</v>
      </c>
    </row>
    <row r="191" spans="1:19" x14ac:dyDescent="0.25">
      <c r="A191" s="15">
        <v>42613</v>
      </c>
      <c r="B191">
        <v>1.1157999999999999</v>
      </c>
      <c r="D191" s="15">
        <v>42613</v>
      </c>
      <c r="E191">
        <v>1.0963099999999999</v>
      </c>
      <c r="G191" s="15">
        <v>42613</v>
      </c>
      <c r="H191">
        <v>1.46458</v>
      </c>
      <c r="J191" s="15">
        <v>42613</v>
      </c>
      <c r="K191">
        <v>1.48356</v>
      </c>
      <c r="M191" s="15">
        <v>42613</v>
      </c>
      <c r="N191">
        <v>1.5373000000000001</v>
      </c>
      <c r="P191" s="12">
        <f t="shared" si="8"/>
        <v>0.98253271195554759</v>
      </c>
      <c r="Q191" s="12">
        <f t="shared" si="9"/>
        <v>1.3125829001613194</v>
      </c>
      <c r="R191" s="12">
        <f t="shared" si="10"/>
        <v>1.3295931170460658</v>
      </c>
      <c r="S191" s="12">
        <f t="shared" si="11"/>
        <v>1.3777558702276396</v>
      </c>
    </row>
    <row r="192" spans="1:19" x14ac:dyDescent="0.25">
      <c r="A192" s="15">
        <v>42643</v>
      </c>
      <c r="B192">
        <v>1.1234999999999999</v>
      </c>
      <c r="D192" s="15">
        <v>42643</v>
      </c>
      <c r="E192">
        <v>1.0914999999999999</v>
      </c>
      <c r="G192" s="15">
        <v>42643</v>
      </c>
      <c r="H192">
        <v>1.4748300000000001</v>
      </c>
      <c r="J192" s="15">
        <v>42643</v>
      </c>
      <c r="K192">
        <v>1.4659800000000001</v>
      </c>
      <c r="M192" s="15">
        <v>42643</v>
      </c>
      <c r="N192">
        <v>1.5418000000000001</v>
      </c>
      <c r="P192" s="12">
        <f t="shared" si="8"/>
        <v>0.97151757899421454</v>
      </c>
      <c r="Q192" s="12">
        <f t="shared" si="9"/>
        <v>1.312710280373832</v>
      </c>
      <c r="R192" s="12">
        <f t="shared" si="10"/>
        <v>1.3048331108144193</v>
      </c>
      <c r="S192" s="12">
        <f t="shared" si="11"/>
        <v>1.3723186470850024</v>
      </c>
    </row>
    <row r="193" spans="1:19" x14ac:dyDescent="0.25">
      <c r="A193" s="15">
        <v>42674</v>
      </c>
      <c r="B193">
        <v>1.0963000000000001</v>
      </c>
      <c r="D193" s="15">
        <v>42674</v>
      </c>
      <c r="E193">
        <v>1.08562</v>
      </c>
      <c r="G193" s="15">
        <v>42674</v>
      </c>
      <c r="H193">
        <v>1.4696499999999999</v>
      </c>
      <c r="J193" s="15">
        <v>42674</v>
      </c>
      <c r="K193">
        <v>1.4410700000000001</v>
      </c>
      <c r="M193" s="15">
        <v>42674</v>
      </c>
      <c r="N193">
        <v>1.5331999999999999</v>
      </c>
      <c r="P193" s="12">
        <f t="shared" si="8"/>
        <v>0.99025814101979381</v>
      </c>
      <c r="Q193" s="12">
        <f t="shared" si="9"/>
        <v>1.3405545927209703</v>
      </c>
      <c r="R193" s="12">
        <f t="shared" si="10"/>
        <v>1.3144850861990331</v>
      </c>
      <c r="S193" s="12">
        <f t="shared" si="11"/>
        <v>1.3985223022895192</v>
      </c>
    </row>
    <row r="194" spans="1:19" x14ac:dyDescent="0.25">
      <c r="A194" s="15">
        <v>42704</v>
      </c>
      <c r="B194">
        <v>1.0599000000000001</v>
      </c>
      <c r="D194" s="15">
        <v>42704</v>
      </c>
      <c r="E194">
        <v>1.0789200000000001</v>
      </c>
      <c r="G194" s="15">
        <v>42704</v>
      </c>
      <c r="H194">
        <v>1.42123</v>
      </c>
      <c r="J194" s="15">
        <v>42704</v>
      </c>
      <c r="K194">
        <v>1.43357</v>
      </c>
      <c r="M194" s="15">
        <v>42704</v>
      </c>
      <c r="N194">
        <v>1.4965999999999999</v>
      </c>
      <c r="P194" s="12">
        <f t="shared" si="8"/>
        <v>1.0179450891593547</v>
      </c>
      <c r="Q194" s="12">
        <f t="shared" si="9"/>
        <v>1.3409095197660155</v>
      </c>
      <c r="R194" s="12">
        <f t="shared" si="10"/>
        <v>1.3525521275592036</v>
      </c>
      <c r="S194" s="12">
        <f t="shared" si="11"/>
        <v>1.4120200018869704</v>
      </c>
    </row>
    <row r="195" spans="1:19" x14ac:dyDescent="0.25">
      <c r="A195" s="15">
        <v>42734</v>
      </c>
      <c r="B195">
        <v>1.0517000000000001</v>
      </c>
      <c r="D195" s="15">
        <v>42734</v>
      </c>
      <c r="E195">
        <v>1.07209</v>
      </c>
      <c r="G195" s="15">
        <v>42734</v>
      </c>
      <c r="H195">
        <v>1.4133800000000001</v>
      </c>
      <c r="J195" s="15">
        <v>42734</v>
      </c>
      <c r="K195">
        <v>1.4596899999999999</v>
      </c>
      <c r="M195" s="15">
        <v>42734</v>
      </c>
      <c r="N195">
        <v>1.5159</v>
      </c>
      <c r="P195" s="12">
        <f t="shared" si="8"/>
        <v>1.0193876580773984</v>
      </c>
      <c r="Q195" s="12">
        <f t="shared" si="9"/>
        <v>1.343900351811353</v>
      </c>
      <c r="R195" s="12">
        <f t="shared" si="10"/>
        <v>1.3879338214319672</v>
      </c>
      <c r="S195" s="12">
        <f t="shared" si="11"/>
        <v>1.4413806218503376</v>
      </c>
    </row>
    <row r="196" spans="1:19" x14ac:dyDescent="0.25">
      <c r="A196" s="15">
        <v>42766</v>
      </c>
      <c r="B196">
        <v>1.0784</v>
      </c>
      <c r="D196" s="15">
        <v>42766</v>
      </c>
      <c r="E196">
        <v>1.0682400000000001</v>
      </c>
      <c r="G196" s="15">
        <v>42766</v>
      </c>
      <c r="H196">
        <v>1.40595</v>
      </c>
      <c r="J196" s="15">
        <v>42766</v>
      </c>
      <c r="K196">
        <v>1.42449</v>
      </c>
      <c r="M196" s="15">
        <v>42766</v>
      </c>
      <c r="N196">
        <v>1.4722</v>
      </c>
      <c r="P196" s="12">
        <f t="shared" ref="P196:P259" si="12">IF(OR($A196="",$B196="",$B196=0),"",IFERROR(INDEX(E$4:E$311,MATCH($A196,D$4:D$311,0))/$B196,""))</f>
        <v>0.99057863501483689</v>
      </c>
      <c r="Q196" s="12">
        <f t="shared" ref="Q196:Q259" si="13">IF(OR($A196="",$B196="",$B196=0),"",IFERROR(INDEX(H$4:H$311,MATCH($A196,G$4:G$311,0))/$B196,""))</f>
        <v>1.3037370178041543</v>
      </c>
      <c r="R196" s="12">
        <f t="shared" ref="R196:R259" si="14">IF(OR($A196="",$B196="",$B196=0),"",IFERROR(INDEX(K$4:K$311,MATCH($A196,J$4:J$311,0))/$B196,""))</f>
        <v>1.3209291543026707</v>
      </c>
      <c r="S196" s="12">
        <f t="shared" ref="S196:S259" si="15">IF(OR($A196="",$B196="",$B196=0),"",IFERROR(INDEX(N$4:N$311,MATCH($A196,M$4:M$311,0))/$B196,""))</f>
        <v>1.3651706231454006</v>
      </c>
    </row>
    <row r="197" spans="1:19" x14ac:dyDescent="0.25">
      <c r="A197" s="15">
        <v>42794</v>
      </c>
      <c r="B197">
        <v>1.0607</v>
      </c>
      <c r="D197" s="15">
        <v>42794</v>
      </c>
      <c r="E197">
        <v>1.0640000000000001</v>
      </c>
      <c r="G197" s="15">
        <v>42794</v>
      </c>
      <c r="H197">
        <v>1.4084099999999999</v>
      </c>
      <c r="J197" s="15">
        <v>42794</v>
      </c>
      <c r="K197">
        <v>1.38158</v>
      </c>
      <c r="M197" s="15">
        <v>42794</v>
      </c>
      <c r="N197">
        <v>1.4678</v>
      </c>
      <c r="P197" s="12">
        <f t="shared" si="12"/>
        <v>1.0031111530121619</v>
      </c>
      <c r="Q197" s="12">
        <f t="shared" si="13"/>
        <v>1.3278118223814461</v>
      </c>
      <c r="R197" s="12">
        <f t="shared" si="14"/>
        <v>1.3025172056189309</v>
      </c>
      <c r="S197" s="12">
        <f t="shared" si="15"/>
        <v>1.3838031488639577</v>
      </c>
    </row>
    <row r="198" spans="1:19" x14ac:dyDescent="0.25">
      <c r="A198" s="15">
        <v>42825</v>
      </c>
      <c r="B198">
        <v>1.0651999999999999</v>
      </c>
      <c r="D198" s="15">
        <v>42825</v>
      </c>
      <c r="E198">
        <v>1.06898</v>
      </c>
      <c r="G198" s="15">
        <v>42825</v>
      </c>
      <c r="H198">
        <v>1.41858</v>
      </c>
      <c r="J198" s="15">
        <v>42825</v>
      </c>
      <c r="K198">
        <v>1.3963699999999999</v>
      </c>
      <c r="M198" s="15">
        <v>42825</v>
      </c>
      <c r="N198">
        <v>1.5197000000000001</v>
      </c>
      <c r="P198" s="12">
        <f t="shared" si="12"/>
        <v>1.0035486293653775</v>
      </c>
      <c r="Q198" s="12">
        <f t="shared" si="13"/>
        <v>1.3317499061209164</v>
      </c>
      <c r="R198" s="12">
        <f t="shared" si="14"/>
        <v>1.3108993616222306</v>
      </c>
      <c r="S198" s="12">
        <f t="shared" si="15"/>
        <v>1.4266804355989486</v>
      </c>
    </row>
    <row r="199" spans="1:19" x14ac:dyDescent="0.25">
      <c r="A199" s="15">
        <v>42853</v>
      </c>
      <c r="B199">
        <v>1.0894999999999999</v>
      </c>
      <c r="D199" s="15">
        <v>42853</v>
      </c>
      <c r="E199">
        <v>1.0842499999999999</v>
      </c>
      <c r="G199" s="15">
        <v>42853</v>
      </c>
      <c r="H199">
        <v>1.48739</v>
      </c>
      <c r="J199" s="15">
        <v>42853</v>
      </c>
      <c r="K199">
        <v>1.45509</v>
      </c>
      <c r="M199" s="15">
        <v>42853</v>
      </c>
      <c r="N199">
        <v>1.5865</v>
      </c>
      <c r="P199" s="12">
        <f t="shared" si="12"/>
        <v>0.99518127581459392</v>
      </c>
      <c r="Q199" s="12">
        <f t="shared" si="13"/>
        <v>1.3652042221202387</v>
      </c>
      <c r="R199" s="12">
        <f t="shared" si="14"/>
        <v>1.3355575952271685</v>
      </c>
      <c r="S199" s="12">
        <f t="shared" si="15"/>
        <v>1.4561725562184489</v>
      </c>
    </row>
    <row r="200" spans="1:19" x14ac:dyDescent="0.25">
      <c r="A200" s="15">
        <v>42886</v>
      </c>
      <c r="B200">
        <v>1.1236999999999999</v>
      </c>
      <c r="D200" s="15">
        <v>42886</v>
      </c>
      <c r="E200">
        <v>1.08782</v>
      </c>
      <c r="G200" s="15">
        <v>42886</v>
      </c>
      <c r="H200">
        <v>1.5185</v>
      </c>
      <c r="J200" s="15">
        <v>42886</v>
      </c>
      <c r="K200">
        <v>1.51108</v>
      </c>
      <c r="M200" s="15">
        <v>42886</v>
      </c>
      <c r="N200">
        <v>1.5831999999999999</v>
      </c>
      <c r="P200" s="12">
        <f t="shared" si="12"/>
        <v>0.96806976951143553</v>
      </c>
      <c r="Q200" s="12">
        <f t="shared" si="13"/>
        <v>1.3513393254427339</v>
      </c>
      <c r="R200" s="12">
        <f t="shared" si="14"/>
        <v>1.3447361395390229</v>
      </c>
      <c r="S200" s="12">
        <f t="shared" si="15"/>
        <v>1.4089169707217228</v>
      </c>
    </row>
    <row r="201" spans="1:19" x14ac:dyDescent="0.25">
      <c r="A201" s="15">
        <v>42916</v>
      </c>
      <c r="B201">
        <v>1.1426000000000001</v>
      </c>
      <c r="D201" s="15">
        <v>42916</v>
      </c>
      <c r="E201">
        <v>1.09504</v>
      </c>
      <c r="G201" s="15">
        <v>42916</v>
      </c>
      <c r="H201">
        <v>1.4811399999999999</v>
      </c>
      <c r="J201" s="15">
        <v>42916</v>
      </c>
      <c r="K201">
        <v>1.48584</v>
      </c>
      <c r="M201" s="15">
        <v>42916</v>
      </c>
      <c r="N201">
        <v>1.5589999999999999</v>
      </c>
      <c r="P201" s="12">
        <f t="shared" si="12"/>
        <v>0.95837563451776642</v>
      </c>
      <c r="Q201" s="12">
        <f t="shared" si="13"/>
        <v>1.2962891650621389</v>
      </c>
      <c r="R201" s="12">
        <f t="shared" si="14"/>
        <v>1.3004025905828811</v>
      </c>
      <c r="S201" s="12">
        <f t="shared" si="15"/>
        <v>1.3644319971993697</v>
      </c>
    </row>
    <row r="202" spans="1:19" x14ac:dyDescent="0.25">
      <c r="A202" s="15">
        <v>42947</v>
      </c>
      <c r="B202">
        <v>1.1811</v>
      </c>
      <c r="D202" s="15">
        <v>42947</v>
      </c>
      <c r="E202">
        <v>1.14171</v>
      </c>
      <c r="G202" s="15">
        <v>42947</v>
      </c>
      <c r="H202">
        <v>1.4749000000000001</v>
      </c>
      <c r="J202" s="15">
        <v>42947</v>
      </c>
      <c r="K202">
        <v>1.47997</v>
      </c>
      <c r="M202" s="15">
        <v>42947</v>
      </c>
      <c r="N202">
        <v>1.5760000000000001</v>
      </c>
      <c r="P202" s="12">
        <f t="shared" si="12"/>
        <v>0.96664973329946657</v>
      </c>
      <c r="Q202" s="12">
        <f t="shared" si="13"/>
        <v>1.248751164168995</v>
      </c>
      <c r="R202" s="12">
        <f t="shared" si="14"/>
        <v>1.2530437727542121</v>
      </c>
      <c r="S202" s="12">
        <f t="shared" si="15"/>
        <v>1.3343493353653375</v>
      </c>
    </row>
    <row r="203" spans="1:19" x14ac:dyDescent="0.25">
      <c r="A203" s="15">
        <v>42978</v>
      </c>
      <c r="B203">
        <v>1.1880999999999999</v>
      </c>
      <c r="D203" s="15">
        <v>42978</v>
      </c>
      <c r="E203">
        <v>1.1426400000000001</v>
      </c>
      <c r="G203" s="15">
        <v>42978</v>
      </c>
      <c r="H203">
        <v>1.48811</v>
      </c>
      <c r="J203" s="15">
        <v>42978</v>
      </c>
      <c r="K203">
        <v>1.49858</v>
      </c>
      <c r="M203" s="15">
        <v>42978</v>
      </c>
      <c r="N203">
        <v>1.6581999999999999</v>
      </c>
      <c r="P203" s="12">
        <f t="shared" si="12"/>
        <v>0.96173722750610235</v>
      </c>
      <c r="Q203" s="12">
        <f t="shared" si="13"/>
        <v>1.2525124147799007</v>
      </c>
      <c r="R203" s="12">
        <f t="shared" si="14"/>
        <v>1.2613248043094016</v>
      </c>
      <c r="S203" s="12">
        <f t="shared" si="15"/>
        <v>1.3956737648346098</v>
      </c>
    </row>
    <row r="204" spans="1:19" x14ac:dyDescent="0.25">
      <c r="A204" s="15">
        <v>43007</v>
      </c>
      <c r="B204">
        <v>1.1814</v>
      </c>
      <c r="D204" s="15">
        <v>43007</v>
      </c>
      <c r="E204">
        <v>1.1439900000000001</v>
      </c>
      <c r="G204" s="15">
        <v>43007</v>
      </c>
      <c r="H204">
        <v>1.4735499999999999</v>
      </c>
      <c r="J204" s="15">
        <v>43007</v>
      </c>
      <c r="K204">
        <v>1.50823</v>
      </c>
      <c r="M204" s="15">
        <v>43007</v>
      </c>
      <c r="N204">
        <v>1.6383000000000001</v>
      </c>
      <c r="P204" s="12">
        <f t="shared" si="12"/>
        <v>0.96833417978669378</v>
      </c>
      <c r="Q204" s="12">
        <f t="shared" si="13"/>
        <v>1.2472913492466564</v>
      </c>
      <c r="R204" s="12">
        <f t="shared" si="14"/>
        <v>1.2766463517860165</v>
      </c>
      <c r="S204" s="12">
        <f t="shared" si="15"/>
        <v>1.3867445403758254</v>
      </c>
    </row>
    <row r="205" spans="1:19" x14ac:dyDescent="0.25">
      <c r="A205" s="15">
        <v>43039</v>
      </c>
      <c r="B205">
        <v>1.1647000000000001</v>
      </c>
      <c r="D205" s="15">
        <v>43039</v>
      </c>
      <c r="E205">
        <v>1.16072</v>
      </c>
      <c r="G205" s="15">
        <v>43039</v>
      </c>
      <c r="H205">
        <v>1.5022200000000001</v>
      </c>
      <c r="J205" s="15">
        <v>43039</v>
      </c>
      <c r="K205">
        <v>1.52016</v>
      </c>
      <c r="M205" s="15">
        <v>43039</v>
      </c>
      <c r="N205">
        <v>1.7023999999999999</v>
      </c>
      <c r="P205" s="12">
        <f t="shared" si="12"/>
        <v>0.99658281102429802</v>
      </c>
      <c r="Q205" s="12">
        <f t="shared" si="13"/>
        <v>1.2897913625826394</v>
      </c>
      <c r="R205" s="12">
        <f t="shared" si="14"/>
        <v>1.3051944706791447</v>
      </c>
      <c r="S205" s="12">
        <f t="shared" si="15"/>
        <v>1.461663947797716</v>
      </c>
    </row>
    <row r="206" spans="1:19" x14ac:dyDescent="0.25">
      <c r="A206" s="15">
        <v>43069</v>
      </c>
      <c r="B206">
        <v>1.1892</v>
      </c>
      <c r="D206" s="15">
        <v>43069</v>
      </c>
      <c r="E206">
        <v>1.1704399999999999</v>
      </c>
      <c r="G206" s="15">
        <v>43069</v>
      </c>
      <c r="H206">
        <v>1.5340800000000001</v>
      </c>
      <c r="J206" s="15">
        <v>43069</v>
      </c>
      <c r="K206">
        <v>1.57239</v>
      </c>
      <c r="M206" s="15">
        <v>43069</v>
      </c>
      <c r="N206">
        <v>1.7382</v>
      </c>
      <c r="P206" s="12">
        <f t="shared" si="12"/>
        <v>0.98422468886646475</v>
      </c>
      <c r="Q206" s="12">
        <f t="shared" si="13"/>
        <v>1.2900100908173562</v>
      </c>
      <c r="R206" s="12">
        <f t="shared" si="14"/>
        <v>1.3222250252270433</v>
      </c>
      <c r="S206" s="12">
        <f t="shared" si="15"/>
        <v>1.4616548940464178</v>
      </c>
    </row>
    <row r="207" spans="1:19" x14ac:dyDescent="0.25">
      <c r="A207" s="15">
        <v>43098</v>
      </c>
      <c r="B207">
        <v>1.2004999999999999</v>
      </c>
      <c r="D207" s="15">
        <v>43098</v>
      </c>
      <c r="E207">
        <v>1.1702900000000001</v>
      </c>
      <c r="G207" s="15">
        <v>43098</v>
      </c>
      <c r="H207">
        <v>1.5088600000000001</v>
      </c>
      <c r="J207" s="15">
        <v>43098</v>
      </c>
      <c r="K207">
        <v>1.53722</v>
      </c>
      <c r="M207" s="15">
        <v>43098</v>
      </c>
      <c r="N207">
        <v>1.6916</v>
      </c>
      <c r="P207" s="12">
        <f t="shared" si="12"/>
        <v>0.97483548521449404</v>
      </c>
      <c r="Q207" s="12">
        <f t="shared" si="13"/>
        <v>1.2568596418159101</v>
      </c>
      <c r="R207" s="12">
        <f t="shared" si="14"/>
        <v>1.2804831320283216</v>
      </c>
      <c r="S207" s="12">
        <f t="shared" si="15"/>
        <v>1.409079550187422</v>
      </c>
    </row>
    <row r="208" spans="1:19" x14ac:dyDescent="0.25">
      <c r="A208" s="15">
        <v>43131</v>
      </c>
      <c r="B208">
        <v>1.2415</v>
      </c>
      <c r="D208" s="15">
        <v>43131</v>
      </c>
      <c r="E208">
        <v>1.1580699999999999</v>
      </c>
      <c r="G208" s="15">
        <v>43131</v>
      </c>
      <c r="H208">
        <v>1.5291300000000001</v>
      </c>
      <c r="J208" s="15">
        <v>43131</v>
      </c>
      <c r="K208">
        <v>1.54165</v>
      </c>
      <c r="M208" s="15">
        <v>43131</v>
      </c>
      <c r="N208">
        <v>1.6854</v>
      </c>
      <c r="P208" s="12">
        <f t="shared" si="12"/>
        <v>0.93279903342730563</v>
      </c>
      <c r="Q208" s="12">
        <f t="shared" si="13"/>
        <v>1.2316794200563834</v>
      </c>
      <c r="R208" s="12">
        <f t="shared" si="14"/>
        <v>1.2417639951671364</v>
      </c>
      <c r="S208" s="12">
        <f t="shared" si="15"/>
        <v>1.3575513491743858</v>
      </c>
    </row>
    <row r="209" spans="1:19" x14ac:dyDescent="0.25">
      <c r="A209" s="15">
        <v>43159</v>
      </c>
      <c r="B209">
        <v>1.2209000000000001</v>
      </c>
      <c r="D209" s="15">
        <v>43159</v>
      </c>
      <c r="E209">
        <v>1.1528400000000001</v>
      </c>
      <c r="G209" s="15">
        <v>43159</v>
      </c>
      <c r="H209">
        <v>1.5642199999999999</v>
      </c>
      <c r="J209" s="15">
        <v>43159</v>
      </c>
      <c r="K209">
        <v>1.56694</v>
      </c>
      <c r="M209" s="15">
        <v>43159</v>
      </c>
      <c r="N209">
        <v>1.6919</v>
      </c>
      <c r="P209" s="12">
        <f t="shared" si="12"/>
        <v>0.94425423867638625</v>
      </c>
      <c r="Q209" s="12">
        <f t="shared" si="13"/>
        <v>1.28120239167827</v>
      </c>
      <c r="R209" s="12">
        <f t="shared" si="14"/>
        <v>1.2834302563682529</v>
      </c>
      <c r="S209" s="12">
        <f t="shared" si="15"/>
        <v>1.385780981243345</v>
      </c>
    </row>
    <row r="210" spans="1:19" x14ac:dyDescent="0.25">
      <c r="A210" s="15">
        <v>43189</v>
      </c>
      <c r="B210">
        <v>1.2323999999999999</v>
      </c>
      <c r="D210" s="15">
        <v>43189</v>
      </c>
      <c r="E210">
        <v>1.17536</v>
      </c>
      <c r="G210" s="15">
        <v>43189</v>
      </c>
      <c r="H210">
        <v>1.5895999999999999</v>
      </c>
      <c r="J210" s="15">
        <v>43189</v>
      </c>
      <c r="K210">
        <v>1.6036999999999999</v>
      </c>
      <c r="M210" s="15">
        <v>43189</v>
      </c>
      <c r="N210">
        <v>1.7027000000000001</v>
      </c>
      <c r="P210" s="12">
        <f t="shared" si="12"/>
        <v>0.95371632586822463</v>
      </c>
      <c r="Q210" s="12">
        <f t="shared" si="13"/>
        <v>1.2898409607270367</v>
      </c>
      <c r="R210" s="12">
        <f t="shared" si="14"/>
        <v>1.3012820512820513</v>
      </c>
      <c r="S210" s="12">
        <f t="shared" si="15"/>
        <v>1.3816131126257709</v>
      </c>
    </row>
    <row r="211" spans="1:19" x14ac:dyDescent="0.25">
      <c r="A211" s="15">
        <v>43220</v>
      </c>
      <c r="B211">
        <v>1.2101</v>
      </c>
      <c r="D211" s="15">
        <v>43220</v>
      </c>
      <c r="E211">
        <v>1.1972700000000001</v>
      </c>
      <c r="G211" s="15">
        <v>43220</v>
      </c>
      <c r="H211">
        <v>1.55189</v>
      </c>
      <c r="J211" s="15">
        <v>43220</v>
      </c>
      <c r="K211">
        <v>1.6033999999999999</v>
      </c>
      <c r="M211" s="15">
        <v>43220</v>
      </c>
      <c r="N211">
        <v>1.716</v>
      </c>
      <c r="P211" s="12">
        <f t="shared" si="12"/>
        <v>0.98939757044872334</v>
      </c>
      <c r="Q211" s="12">
        <f t="shared" si="13"/>
        <v>1.2824477315924305</v>
      </c>
      <c r="R211" s="12">
        <f t="shared" si="14"/>
        <v>1.3250144616147426</v>
      </c>
      <c r="S211" s="12">
        <f t="shared" si="15"/>
        <v>1.4180646227584497</v>
      </c>
    </row>
    <row r="212" spans="1:19" x14ac:dyDescent="0.25">
      <c r="A212" s="15">
        <v>43251</v>
      </c>
      <c r="B212">
        <v>1.1671</v>
      </c>
      <c r="D212" s="15">
        <v>43251</v>
      </c>
      <c r="E212">
        <v>1.14913</v>
      </c>
      <c r="G212" s="15">
        <v>43251</v>
      </c>
      <c r="H212">
        <v>1.512</v>
      </c>
      <c r="J212" s="15">
        <v>43251</v>
      </c>
      <c r="K212">
        <v>1.5425899999999999</v>
      </c>
      <c r="M212" s="15">
        <v>43251</v>
      </c>
      <c r="N212">
        <v>1.6676</v>
      </c>
      <c r="P212" s="12">
        <f t="shared" si="12"/>
        <v>0.98460286179419065</v>
      </c>
      <c r="Q212" s="12">
        <f t="shared" si="13"/>
        <v>1.2955188073001456</v>
      </c>
      <c r="R212" s="12">
        <f t="shared" si="14"/>
        <v>1.3217290720589494</v>
      </c>
      <c r="S212" s="12">
        <f t="shared" si="15"/>
        <v>1.4288407163053722</v>
      </c>
    </row>
    <row r="213" spans="1:19" x14ac:dyDescent="0.25">
      <c r="A213" s="15">
        <v>43280</v>
      </c>
      <c r="B213">
        <v>1.1684000000000001</v>
      </c>
      <c r="D213" s="15">
        <v>43280</v>
      </c>
      <c r="E213">
        <v>1.1570400000000001</v>
      </c>
      <c r="G213" s="15">
        <v>43280</v>
      </c>
      <c r="H213">
        <v>1.53467</v>
      </c>
      <c r="J213" s="15">
        <v>43280</v>
      </c>
      <c r="K213">
        <v>1.5786500000000001</v>
      </c>
      <c r="M213" s="15">
        <v>43280</v>
      </c>
      <c r="N213">
        <v>1.7266999999999999</v>
      </c>
      <c r="P213" s="12">
        <f t="shared" si="12"/>
        <v>0.99027730229373501</v>
      </c>
      <c r="Q213" s="12">
        <f t="shared" si="13"/>
        <v>1.3134799726121189</v>
      </c>
      <c r="R213" s="12">
        <f t="shared" si="14"/>
        <v>1.3511211913728176</v>
      </c>
      <c r="S213" s="12">
        <f t="shared" si="15"/>
        <v>1.4778329339267371</v>
      </c>
    </row>
    <row r="214" spans="1:19" x14ac:dyDescent="0.25">
      <c r="A214" s="15">
        <v>43312</v>
      </c>
      <c r="B214">
        <v>1.1705000000000001</v>
      </c>
      <c r="D214" s="15">
        <v>43312</v>
      </c>
      <c r="E214">
        <v>1.1584099999999999</v>
      </c>
      <c r="G214" s="15">
        <v>43312</v>
      </c>
      <c r="H214">
        <v>1.5226999999999999</v>
      </c>
      <c r="J214" s="15">
        <v>43312</v>
      </c>
      <c r="K214">
        <v>1.5739300000000001</v>
      </c>
      <c r="M214" s="15">
        <v>43312</v>
      </c>
      <c r="N214">
        <v>1.7175</v>
      </c>
      <c r="P214" s="12">
        <f t="shared" si="12"/>
        <v>0.98967108073472865</v>
      </c>
      <c r="Q214" s="12">
        <f t="shared" si="13"/>
        <v>1.3008970525416488</v>
      </c>
      <c r="R214" s="12">
        <f t="shared" si="14"/>
        <v>1.3446646732165741</v>
      </c>
      <c r="S214" s="12">
        <f t="shared" si="15"/>
        <v>1.4673216574113626</v>
      </c>
    </row>
    <row r="215" spans="1:19" x14ac:dyDescent="0.25">
      <c r="A215" s="15">
        <v>43343</v>
      </c>
      <c r="B215">
        <v>1.1601999999999999</v>
      </c>
      <c r="D215" s="15">
        <v>43343</v>
      </c>
      <c r="E215">
        <v>1.1242399999999999</v>
      </c>
      <c r="G215" s="15">
        <v>43343</v>
      </c>
      <c r="H215">
        <v>1.51284</v>
      </c>
      <c r="J215" s="15">
        <v>43343</v>
      </c>
      <c r="K215">
        <v>1.6136699999999999</v>
      </c>
      <c r="M215" s="15">
        <v>43343</v>
      </c>
      <c r="N215">
        <v>1.7515000000000001</v>
      </c>
      <c r="P215" s="12">
        <f t="shared" si="12"/>
        <v>0.96900534390622306</v>
      </c>
      <c r="Q215" s="12">
        <f t="shared" si="13"/>
        <v>1.3039475952421997</v>
      </c>
      <c r="R215" s="12">
        <f t="shared" si="14"/>
        <v>1.3908550249956904</v>
      </c>
      <c r="S215" s="12">
        <f t="shared" si="15"/>
        <v>1.5096535080158595</v>
      </c>
    </row>
    <row r="216" spans="1:19" x14ac:dyDescent="0.25">
      <c r="A216" s="15">
        <v>43371</v>
      </c>
      <c r="B216">
        <v>1.1604000000000001</v>
      </c>
      <c r="D216" s="15">
        <v>43371</v>
      </c>
      <c r="E216">
        <v>1.1397999999999999</v>
      </c>
      <c r="G216" s="15">
        <v>43371</v>
      </c>
      <c r="H216">
        <v>1.49786</v>
      </c>
      <c r="J216" s="15">
        <v>43371</v>
      </c>
      <c r="K216">
        <v>1.6068899999999999</v>
      </c>
      <c r="M216" s="15">
        <v>43371</v>
      </c>
      <c r="N216">
        <v>1.7524</v>
      </c>
      <c r="P216" s="12">
        <f t="shared" si="12"/>
        <v>0.98224750086177171</v>
      </c>
      <c r="Q216" s="12">
        <f t="shared" si="13"/>
        <v>1.2908135125818683</v>
      </c>
      <c r="R216" s="12">
        <f t="shared" si="14"/>
        <v>1.3847724922440536</v>
      </c>
      <c r="S216" s="12">
        <f t="shared" si="15"/>
        <v>1.510168907273354</v>
      </c>
    </row>
    <row r="217" spans="1:19" x14ac:dyDescent="0.25">
      <c r="A217" s="15">
        <v>43404</v>
      </c>
      <c r="B217">
        <v>1.1306</v>
      </c>
      <c r="D217" s="15">
        <v>43404</v>
      </c>
      <c r="E217">
        <v>1.14106</v>
      </c>
      <c r="G217" s="15">
        <v>43404</v>
      </c>
      <c r="H217">
        <v>1.48759</v>
      </c>
      <c r="J217" s="15">
        <v>43404</v>
      </c>
      <c r="K217">
        <v>1.5987100000000001</v>
      </c>
      <c r="M217" s="15">
        <v>43404</v>
      </c>
      <c r="N217">
        <v>1.7347999999999999</v>
      </c>
      <c r="P217" s="12">
        <f t="shared" si="12"/>
        <v>1.0092517247479214</v>
      </c>
      <c r="Q217" s="12">
        <f t="shared" si="13"/>
        <v>1.3157526976826464</v>
      </c>
      <c r="R217" s="12">
        <f t="shared" si="14"/>
        <v>1.4140367946223245</v>
      </c>
      <c r="S217" s="12">
        <f t="shared" si="15"/>
        <v>1.5344065098177957</v>
      </c>
    </row>
    <row r="218" spans="1:19" x14ac:dyDescent="0.25">
      <c r="A218" s="15">
        <v>43434</v>
      </c>
      <c r="B218">
        <v>1.1316999999999999</v>
      </c>
      <c r="D218" s="15">
        <v>43434</v>
      </c>
      <c r="E218">
        <v>1.13087</v>
      </c>
      <c r="G218" s="15">
        <v>43434</v>
      </c>
      <c r="H218">
        <v>1.5043599999999999</v>
      </c>
      <c r="J218" s="15">
        <v>43434</v>
      </c>
      <c r="K218">
        <v>1.5491699999999999</v>
      </c>
      <c r="M218" s="15">
        <v>43434</v>
      </c>
      <c r="N218">
        <v>1.6460999999999999</v>
      </c>
      <c r="P218" s="12">
        <f t="shared" si="12"/>
        <v>0.99926659008571184</v>
      </c>
      <c r="Q218" s="12">
        <f t="shared" si="13"/>
        <v>1.3292922152513917</v>
      </c>
      <c r="R218" s="12">
        <f t="shared" si="14"/>
        <v>1.368887514358929</v>
      </c>
      <c r="S218" s="12">
        <f t="shared" si="15"/>
        <v>1.4545374215781568</v>
      </c>
    </row>
    <row r="219" spans="1:19" x14ac:dyDescent="0.25">
      <c r="A219" s="15">
        <v>43465</v>
      </c>
      <c r="B219">
        <v>1.1452</v>
      </c>
      <c r="D219" s="15">
        <v>43465</v>
      </c>
      <c r="E219">
        <v>1.1255500000000001</v>
      </c>
      <c r="G219" s="15">
        <v>43465</v>
      </c>
      <c r="H219">
        <v>1.5601400000000001</v>
      </c>
      <c r="J219" s="15">
        <v>43465</v>
      </c>
      <c r="K219">
        <v>1.62595</v>
      </c>
      <c r="M219" s="15">
        <v>43465</v>
      </c>
      <c r="N219">
        <v>1.7063999999999999</v>
      </c>
      <c r="P219" s="12">
        <f t="shared" si="12"/>
        <v>0.98284142507858896</v>
      </c>
      <c r="Q219" s="12">
        <f t="shared" si="13"/>
        <v>1.3623297240656655</v>
      </c>
      <c r="R219" s="12">
        <f t="shared" si="14"/>
        <v>1.4197956688787985</v>
      </c>
      <c r="S219" s="12">
        <f t="shared" si="15"/>
        <v>1.4900454069158224</v>
      </c>
    </row>
    <row r="220" spans="1:19" x14ac:dyDescent="0.25">
      <c r="A220" s="15">
        <v>43496</v>
      </c>
      <c r="B220">
        <v>1.145</v>
      </c>
      <c r="D220" s="15">
        <v>43496</v>
      </c>
      <c r="E220">
        <v>1.1378600000000001</v>
      </c>
      <c r="G220" s="15">
        <v>43496</v>
      </c>
      <c r="H220">
        <v>1.50512</v>
      </c>
      <c r="J220" s="15">
        <v>43496</v>
      </c>
      <c r="K220">
        <v>1.5744800000000001</v>
      </c>
      <c r="M220" s="15">
        <v>43496</v>
      </c>
      <c r="N220">
        <v>1.6556</v>
      </c>
      <c r="P220" s="12">
        <f t="shared" si="12"/>
        <v>0.9937641921397381</v>
      </c>
      <c r="Q220" s="12">
        <f t="shared" si="13"/>
        <v>1.3145152838427947</v>
      </c>
      <c r="R220" s="12">
        <f t="shared" si="14"/>
        <v>1.3750917030567686</v>
      </c>
      <c r="S220" s="12">
        <f t="shared" si="15"/>
        <v>1.4459388646288209</v>
      </c>
    </row>
    <row r="221" spans="1:19" x14ac:dyDescent="0.25">
      <c r="A221" s="15">
        <v>43524</v>
      </c>
      <c r="B221">
        <v>1.1382000000000001</v>
      </c>
      <c r="D221" s="15">
        <v>43524</v>
      </c>
      <c r="E221">
        <v>1.13534</v>
      </c>
      <c r="G221" s="15">
        <v>43524</v>
      </c>
      <c r="H221">
        <v>1.4978100000000001</v>
      </c>
      <c r="J221" s="15">
        <v>43524</v>
      </c>
      <c r="K221">
        <v>1.6034299999999999</v>
      </c>
      <c r="M221" s="15">
        <v>43524</v>
      </c>
      <c r="N221">
        <v>1.6716</v>
      </c>
      <c r="P221" s="12">
        <f t="shared" si="12"/>
        <v>0.99748726058689152</v>
      </c>
      <c r="Q221" s="12">
        <f t="shared" si="13"/>
        <v>1.3159462308908803</v>
      </c>
      <c r="R221" s="12">
        <f t="shared" si="14"/>
        <v>1.4087418731330168</v>
      </c>
      <c r="S221" s="12">
        <f t="shared" si="15"/>
        <v>1.4686346863468633</v>
      </c>
    </row>
    <row r="222" spans="1:19" x14ac:dyDescent="0.25">
      <c r="A222" s="15">
        <v>43553</v>
      </c>
      <c r="B222">
        <v>1.1217999999999999</v>
      </c>
      <c r="D222" s="15">
        <v>43553</v>
      </c>
      <c r="E222">
        <v>1.11635</v>
      </c>
      <c r="G222" s="15">
        <v>43553</v>
      </c>
      <c r="H222">
        <v>1.4974499999999999</v>
      </c>
      <c r="J222" s="15">
        <v>43553</v>
      </c>
      <c r="K222">
        <v>1.58081</v>
      </c>
      <c r="M222" s="15">
        <v>43553</v>
      </c>
      <c r="N222">
        <v>1.6485000000000001</v>
      </c>
      <c r="P222" s="12">
        <f t="shared" si="12"/>
        <v>0.99514173649491888</v>
      </c>
      <c r="Q222" s="12">
        <f t="shared" si="13"/>
        <v>1.3348636120520592</v>
      </c>
      <c r="R222" s="12">
        <f t="shared" si="14"/>
        <v>1.4091727580673918</v>
      </c>
      <c r="S222" s="12">
        <f t="shared" si="15"/>
        <v>1.4695132822249957</v>
      </c>
    </row>
    <row r="223" spans="1:19" x14ac:dyDescent="0.25">
      <c r="A223" s="15">
        <v>43585</v>
      </c>
      <c r="B223">
        <v>1.1216999999999999</v>
      </c>
      <c r="D223" s="15">
        <v>43585</v>
      </c>
      <c r="E223">
        <v>1.14266</v>
      </c>
      <c r="G223" s="15">
        <v>43585</v>
      </c>
      <c r="H223">
        <v>1.5042500000000001</v>
      </c>
      <c r="J223" s="15">
        <v>43585</v>
      </c>
      <c r="K223">
        <v>1.5908899999999999</v>
      </c>
      <c r="M223" s="15">
        <v>43585</v>
      </c>
      <c r="N223">
        <v>1.6796</v>
      </c>
      <c r="P223" s="12">
        <f t="shared" si="12"/>
        <v>1.0186859231523582</v>
      </c>
      <c r="Q223" s="12">
        <f t="shared" si="13"/>
        <v>1.34104484264955</v>
      </c>
      <c r="R223" s="12">
        <f t="shared" si="14"/>
        <v>1.4182847463671213</v>
      </c>
      <c r="S223" s="12">
        <f t="shared" si="15"/>
        <v>1.4973700632967817</v>
      </c>
    </row>
    <row r="224" spans="1:19" x14ac:dyDescent="0.25">
      <c r="A224" s="15">
        <v>43616</v>
      </c>
      <c r="B224">
        <v>1.1169</v>
      </c>
      <c r="D224" s="15">
        <v>43616</v>
      </c>
      <c r="E224">
        <v>1.11781</v>
      </c>
      <c r="G224" s="15">
        <v>43616</v>
      </c>
      <c r="H224">
        <v>1.50946</v>
      </c>
      <c r="J224" s="15">
        <v>43616</v>
      </c>
      <c r="K224">
        <v>1.60991</v>
      </c>
      <c r="M224" s="15">
        <v>43616</v>
      </c>
      <c r="N224">
        <v>1.7088000000000001</v>
      </c>
      <c r="P224" s="12">
        <f t="shared" si="12"/>
        <v>1.0008147551257947</v>
      </c>
      <c r="Q224" s="12">
        <f t="shared" si="13"/>
        <v>1.3514728265735518</v>
      </c>
      <c r="R224" s="12">
        <f t="shared" si="14"/>
        <v>1.4414092577670337</v>
      </c>
      <c r="S224" s="12">
        <f t="shared" si="15"/>
        <v>1.529948965887725</v>
      </c>
    </row>
    <row r="225" spans="1:19" x14ac:dyDescent="0.25">
      <c r="A225" s="15">
        <v>43644</v>
      </c>
      <c r="B225">
        <v>1.1373</v>
      </c>
      <c r="D225" s="15">
        <v>43644</v>
      </c>
      <c r="E225">
        <v>1.11039</v>
      </c>
      <c r="G225" s="15">
        <v>43644</v>
      </c>
      <c r="H225">
        <v>1.4890399999999999</v>
      </c>
      <c r="J225" s="15">
        <v>43644</v>
      </c>
      <c r="K225">
        <v>1.6200699999999999</v>
      </c>
      <c r="M225" s="15">
        <v>43644</v>
      </c>
      <c r="N225">
        <v>1.6930000000000001</v>
      </c>
      <c r="P225" s="12">
        <f t="shared" si="12"/>
        <v>0.97633869691374309</v>
      </c>
      <c r="Q225" s="12">
        <f t="shared" si="13"/>
        <v>1.3092763562824232</v>
      </c>
      <c r="R225" s="12">
        <f t="shared" si="14"/>
        <v>1.4244878220346433</v>
      </c>
      <c r="S225" s="12">
        <f t="shared" si="15"/>
        <v>1.4886133825727601</v>
      </c>
    </row>
    <row r="226" spans="1:19" x14ac:dyDescent="0.25">
      <c r="A226" s="15">
        <v>43677</v>
      </c>
      <c r="B226">
        <v>1.1128</v>
      </c>
      <c r="D226" s="15">
        <v>43677</v>
      </c>
      <c r="E226">
        <v>1.10189</v>
      </c>
      <c r="G226" s="15">
        <v>43677</v>
      </c>
      <c r="H226">
        <v>1.46326</v>
      </c>
      <c r="J226" s="15">
        <v>43677</v>
      </c>
      <c r="K226">
        <v>1.6172</v>
      </c>
      <c r="M226" s="15">
        <v>43677</v>
      </c>
      <c r="N226">
        <v>1.6881999999999999</v>
      </c>
      <c r="P226" s="12">
        <f t="shared" si="12"/>
        <v>0.99019590222861253</v>
      </c>
      <c r="Q226" s="12">
        <f t="shared" si="13"/>
        <v>1.3149352983465132</v>
      </c>
      <c r="R226" s="12">
        <f t="shared" si="14"/>
        <v>1.4532710280373831</v>
      </c>
      <c r="S226" s="12">
        <f t="shared" si="15"/>
        <v>1.5170740474478792</v>
      </c>
    </row>
    <row r="227" spans="1:19" x14ac:dyDescent="0.25">
      <c r="A227" s="15">
        <v>43707</v>
      </c>
      <c r="B227">
        <v>1.0982000000000001</v>
      </c>
      <c r="D227" s="15">
        <v>43707</v>
      </c>
      <c r="E227">
        <v>1.0888</v>
      </c>
      <c r="G227" s="15">
        <v>43707</v>
      </c>
      <c r="H227">
        <v>1.4621599999999999</v>
      </c>
      <c r="J227" s="15">
        <v>43707</v>
      </c>
      <c r="K227">
        <v>1.6315</v>
      </c>
      <c r="M227" s="15">
        <v>43707</v>
      </c>
      <c r="N227">
        <v>1.74</v>
      </c>
      <c r="P227" s="12">
        <f t="shared" si="12"/>
        <v>0.99144053906392271</v>
      </c>
      <c r="Q227" s="12">
        <f t="shared" si="13"/>
        <v>1.3314150427973046</v>
      </c>
      <c r="R227" s="12">
        <f t="shared" si="14"/>
        <v>1.485612820979785</v>
      </c>
      <c r="S227" s="12">
        <f t="shared" si="15"/>
        <v>1.5844108541249315</v>
      </c>
    </row>
    <row r="228" spans="1:19" x14ac:dyDescent="0.25">
      <c r="A228" s="15">
        <v>43738</v>
      </c>
      <c r="B228">
        <v>1.0903</v>
      </c>
      <c r="D228" s="15">
        <v>43738</v>
      </c>
      <c r="E228">
        <v>1.0880000000000001</v>
      </c>
      <c r="G228" s="15">
        <v>43738</v>
      </c>
      <c r="H228">
        <v>1.4436899999999999</v>
      </c>
      <c r="J228" s="15">
        <v>43738</v>
      </c>
      <c r="K228">
        <v>1.6158699999999999</v>
      </c>
      <c r="M228" s="15">
        <v>43738</v>
      </c>
      <c r="N228">
        <v>1.7417</v>
      </c>
      <c r="P228" s="12">
        <f t="shared" si="12"/>
        <v>0.99789048885627807</v>
      </c>
      <c r="Q228" s="12">
        <f t="shared" si="13"/>
        <v>1.3241218013390808</v>
      </c>
      <c r="R228" s="12">
        <f t="shared" si="14"/>
        <v>1.4820416399156193</v>
      </c>
      <c r="S228" s="12">
        <f t="shared" si="15"/>
        <v>1.5974502430523709</v>
      </c>
    </row>
    <row r="229" spans="1:19" x14ac:dyDescent="0.25">
      <c r="A229" s="15">
        <v>43769</v>
      </c>
      <c r="B229">
        <v>1.1146</v>
      </c>
      <c r="D229" s="15">
        <v>43769</v>
      </c>
      <c r="E229">
        <v>1.0995600000000001</v>
      </c>
      <c r="G229" s="15">
        <v>43769</v>
      </c>
      <c r="H229">
        <v>1.4670700000000001</v>
      </c>
      <c r="J229" s="15">
        <v>43769</v>
      </c>
      <c r="K229">
        <v>1.6181700000000001</v>
      </c>
      <c r="M229" s="15">
        <v>43769</v>
      </c>
      <c r="N229">
        <v>1.7399</v>
      </c>
      <c r="P229" s="12">
        <f t="shared" si="12"/>
        <v>0.98650636999820573</v>
      </c>
      <c r="Q229" s="12">
        <f t="shared" si="13"/>
        <v>1.3162300376816796</v>
      </c>
      <c r="R229" s="12">
        <f t="shared" si="14"/>
        <v>1.451794365691728</v>
      </c>
      <c r="S229" s="12">
        <f t="shared" si="15"/>
        <v>1.5610084335187511</v>
      </c>
    </row>
    <row r="230" spans="1:19" x14ac:dyDescent="0.25">
      <c r="A230" s="15">
        <v>43798</v>
      </c>
      <c r="B230">
        <v>1.1017999999999999</v>
      </c>
      <c r="D230" s="15">
        <v>43798</v>
      </c>
      <c r="E230">
        <v>1.1018699999999999</v>
      </c>
      <c r="G230" s="15">
        <v>43798</v>
      </c>
      <c r="H230">
        <v>1.46343</v>
      </c>
      <c r="J230" s="15">
        <v>43798</v>
      </c>
      <c r="K230">
        <v>1.62934</v>
      </c>
      <c r="M230" s="15">
        <v>43798</v>
      </c>
      <c r="N230">
        <v>1.7157</v>
      </c>
      <c r="P230" s="12">
        <f t="shared" si="12"/>
        <v>1.0000635324015248</v>
      </c>
      <c r="Q230" s="12">
        <f t="shared" si="13"/>
        <v>1.3282174623343621</v>
      </c>
      <c r="R230" s="12">
        <f t="shared" si="14"/>
        <v>1.4787983300054457</v>
      </c>
      <c r="S230" s="12">
        <f t="shared" si="15"/>
        <v>1.5571791613723001</v>
      </c>
    </row>
    <row r="231" spans="1:19" x14ac:dyDescent="0.25">
      <c r="A231" s="15">
        <v>43830</v>
      </c>
      <c r="B231">
        <v>1.1229</v>
      </c>
      <c r="D231" s="15">
        <v>43830</v>
      </c>
      <c r="E231">
        <v>1.08541</v>
      </c>
      <c r="G231" s="15">
        <v>43830</v>
      </c>
      <c r="H231">
        <v>1.4573</v>
      </c>
      <c r="J231" s="15">
        <v>43830</v>
      </c>
      <c r="K231">
        <v>1.5986100000000001</v>
      </c>
      <c r="M231" s="15">
        <v>43830</v>
      </c>
      <c r="N231">
        <v>1.6655</v>
      </c>
      <c r="P231" s="12">
        <f t="shared" si="12"/>
        <v>0.96661323359159312</v>
      </c>
      <c r="Q231" s="12">
        <f t="shared" si="13"/>
        <v>1.2978003384094754</v>
      </c>
      <c r="R231" s="12">
        <f t="shared" si="14"/>
        <v>1.4236441357200107</v>
      </c>
      <c r="S231" s="12">
        <f t="shared" si="15"/>
        <v>1.483213108914418</v>
      </c>
    </row>
    <row r="232" spans="1:19" x14ac:dyDescent="0.25">
      <c r="A232" s="15">
        <v>43861</v>
      </c>
      <c r="B232">
        <v>1.1093</v>
      </c>
      <c r="D232" s="15">
        <v>43861</v>
      </c>
      <c r="E232">
        <v>1.0688800000000001</v>
      </c>
      <c r="G232" s="15">
        <v>43861</v>
      </c>
      <c r="H232">
        <v>1.4682200000000001</v>
      </c>
      <c r="J232" s="15">
        <v>43861</v>
      </c>
      <c r="K232">
        <v>1.65798</v>
      </c>
      <c r="M232" s="15">
        <v>43861</v>
      </c>
      <c r="N232">
        <v>1.7159</v>
      </c>
      <c r="P232" s="12">
        <f t="shared" si="12"/>
        <v>0.9635626070494907</v>
      </c>
      <c r="Q232" s="12">
        <f t="shared" si="13"/>
        <v>1.32355539529433</v>
      </c>
      <c r="R232" s="12">
        <f t="shared" si="14"/>
        <v>1.4946182277111693</v>
      </c>
      <c r="S232" s="12">
        <f t="shared" si="15"/>
        <v>1.5468313350761742</v>
      </c>
    </row>
    <row r="233" spans="1:19" x14ac:dyDescent="0.25">
      <c r="A233" s="15">
        <v>43889</v>
      </c>
      <c r="B233">
        <v>1.1026</v>
      </c>
      <c r="D233" s="15">
        <v>43889</v>
      </c>
      <c r="E233">
        <v>1.0645800000000001</v>
      </c>
      <c r="G233" s="15">
        <v>43889</v>
      </c>
      <c r="H233">
        <v>1.4774700000000001</v>
      </c>
      <c r="J233" s="15">
        <v>43889</v>
      </c>
      <c r="K233">
        <v>1.69164</v>
      </c>
      <c r="M233" s="15">
        <v>43889</v>
      </c>
      <c r="N233">
        <v>1.7674000000000001</v>
      </c>
      <c r="P233" s="12">
        <f t="shared" si="12"/>
        <v>0.96551786686014884</v>
      </c>
      <c r="Q233" s="12">
        <f t="shared" si="13"/>
        <v>1.3399873027389806</v>
      </c>
      <c r="R233" s="12">
        <f t="shared" si="14"/>
        <v>1.534228187919463</v>
      </c>
      <c r="S233" s="12">
        <f t="shared" si="15"/>
        <v>1.6029385089787775</v>
      </c>
    </row>
    <row r="234" spans="1:19" x14ac:dyDescent="0.25">
      <c r="A234" s="15">
        <v>43921</v>
      </c>
      <c r="B234">
        <v>1.0971</v>
      </c>
      <c r="D234" s="15">
        <v>43921</v>
      </c>
      <c r="E234">
        <v>1.0597000000000001</v>
      </c>
      <c r="G234" s="15">
        <v>43921</v>
      </c>
      <c r="H234">
        <v>1.55637</v>
      </c>
      <c r="J234" s="15">
        <v>43921</v>
      </c>
      <c r="K234">
        <v>1.7980499999999999</v>
      </c>
      <c r="M234" s="15">
        <v>43921</v>
      </c>
      <c r="N234">
        <v>1.85</v>
      </c>
      <c r="P234" s="12">
        <f t="shared" si="12"/>
        <v>0.96591012669765752</v>
      </c>
      <c r="Q234" s="12">
        <f t="shared" si="13"/>
        <v>1.4186218211648893</v>
      </c>
      <c r="R234" s="12">
        <f t="shared" si="14"/>
        <v>1.638911676237353</v>
      </c>
      <c r="S234" s="12">
        <f t="shared" si="15"/>
        <v>1.686263786345821</v>
      </c>
    </row>
    <row r="235" spans="1:19" x14ac:dyDescent="0.25">
      <c r="A235" s="15">
        <v>43951</v>
      </c>
      <c r="B235">
        <v>1.0936999999999999</v>
      </c>
      <c r="D235" s="15">
        <v>43951</v>
      </c>
      <c r="E235">
        <v>1.0569599999999999</v>
      </c>
      <c r="G235" s="15">
        <v>43951</v>
      </c>
      <c r="H235">
        <v>1.52339</v>
      </c>
      <c r="J235" s="15">
        <v>43951</v>
      </c>
      <c r="K235">
        <v>1.67649</v>
      </c>
      <c r="M235" s="15">
        <v>43951</v>
      </c>
      <c r="N235">
        <v>1.7802</v>
      </c>
      <c r="P235" s="12">
        <f t="shared" si="12"/>
        <v>0.96640760720490082</v>
      </c>
      <c r="Q235" s="12">
        <f t="shared" si="13"/>
        <v>1.3928773886806256</v>
      </c>
      <c r="R235" s="12">
        <f t="shared" si="14"/>
        <v>1.5328609307854075</v>
      </c>
      <c r="S235" s="12">
        <f t="shared" si="15"/>
        <v>1.6276858370668374</v>
      </c>
    </row>
    <row r="236" spans="1:19" x14ac:dyDescent="0.25">
      <c r="A236" s="15">
        <v>43980</v>
      </c>
      <c r="B236">
        <v>1.1101000000000001</v>
      </c>
      <c r="D236" s="15">
        <v>43980</v>
      </c>
      <c r="E236">
        <v>1.06745</v>
      </c>
      <c r="G236" s="15">
        <v>43980</v>
      </c>
      <c r="H236">
        <v>1.5298499999999999</v>
      </c>
      <c r="J236" s="15">
        <v>43980</v>
      </c>
      <c r="K236">
        <v>1.6671</v>
      </c>
      <c r="M236" s="15">
        <v>43980</v>
      </c>
      <c r="N236">
        <v>1.7889999999999999</v>
      </c>
      <c r="P236" s="12">
        <f t="shared" si="12"/>
        <v>0.96158003783442925</v>
      </c>
      <c r="Q236" s="12">
        <f t="shared" si="13"/>
        <v>1.3781190883704169</v>
      </c>
      <c r="R236" s="12">
        <f t="shared" si="14"/>
        <v>1.5017565985046391</v>
      </c>
      <c r="S236" s="12">
        <f t="shared" si="15"/>
        <v>1.6115665255382396</v>
      </c>
    </row>
    <row r="237" spans="1:19" x14ac:dyDescent="0.25">
      <c r="A237" s="15">
        <v>44012</v>
      </c>
      <c r="B237">
        <v>1.1243000000000001</v>
      </c>
      <c r="D237" s="15">
        <v>44012</v>
      </c>
      <c r="E237">
        <v>1.06481</v>
      </c>
      <c r="G237" s="15">
        <v>44012</v>
      </c>
      <c r="H237">
        <v>1.53085</v>
      </c>
      <c r="J237" s="15">
        <v>44012</v>
      </c>
      <c r="K237">
        <v>1.63185</v>
      </c>
      <c r="M237" s="15">
        <v>44012</v>
      </c>
      <c r="N237">
        <v>1.7448999999999999</v>
      </c>
      <c r="P237" s="12">
        <f t="shared" si="12"/>
        <v>0.9470870764030952</v>
      </c>
      <c r="Q237" s="12">
        <f t="shared" si="13"/>
        <v>1.3616027750600372</v>
      </c>
      <c r="R237" s="12">
        <f t="shared" si="14"/>
        <v>1.4514364493462597</v>
      </c>
      <c r="S237" s="12">
        <f t="shared" si="15"/>
        <v>1.5519879035844524</v>
      </c>
    </row>
    <row r="238" spans="1:19" x14ac:dyDescent="0.25">
      <c r="A238" s="15">
        <v>44043</v>
      </c>
      <c r="B238">
        <v>1.1778</v>
      </c>
      <c r="D238" s="15">
        <v>44043</v>
      </c>
      <c r="E238">
        <v>1.0758399999999999</v>
      </c>
      <c r="G238" s="15">
        <v>44043</v>
      </c>
      <c r="H238">
        <v>1.57972</v>
      </c>
      <c r="J238" s="15">
        <v>44043</v>
      </c>
      <c r="K238">
        <v>1.64906</v>
      </c>
      <c r="M238" s="15">
        <v>44043</v>
      </c>
      <c r="N238">
        <v>1.7767999999999999</v>
      </c>
      <c r="P238" s="12">
        <f t="shared" si="12"/>
        <v>0.91343182204109352</v>
      </c>
      <c r="Q238" s="12">
        <f t="shared" si="13"/>
        <v>1.3412463915775175</v>
      </c>
      <c r="R238" s="12">
        <f t="shared" si="14"/>
        <v>1.4001188656817796</v>
      </c>
      <c r="S238" s="12">
        <f t="shared" si="15"/>
        <v>1.5085753098998131</v>
      </c>
    </row>
    <row r="239" spans="1:19" x14ac:dyDescent="0.25">
      <c r="A239" s="15">
        <v>44074</v>
      </c>
      <c r="B239">
        <v>1.1943999999999999</v>
      </c>
      <c r="D239" s="15">
        <v>44074</v>
      </c>
      <c r="E239">
        <v>1.07836</v>
      </c>
      <c r="G239" s="15">
        <v>44074</v>
      </c>
      <c r="H239">
        <v>1.55775</v>
      </c>
      <c r="J239" s="15">
        <v>44074</v>
      </c>
      <c r="K239">
        <v>1.61625</v>
      </c>
      <c r="M239" s="15">
        <v>44074</v>
      </c>
      <c r="N239">
        <v>1.7693000000000001</v>
      </c>
      <c r="P239" s="12">
        <f t="shared" si="12"/>
        <v>0.90284661754855999</v>
      </c>
      <c r="Q239" s="12">
        <f t="shared" si="13"/>
        <v>1.3042113194909579</v>
      </c>
      <c r="R239" s="12">
        <f t="shared" si="14"/>
        <v>1.3531898861352982</v>
      </c>
      <c r="S239" s="12">
        <f t="shared" si="15"/>
        <v>1.4813295378432687</v>
      </c>
    </row>
    <row r="240" spans="1:19" x14ac:dyDescent="0.25">
      <c r="A240" s="15">
        <v>44104</v>
      </c>
      <c r="B240">
        <v>1.1721999999999999</v>
      </c>
      <c r="D240" s="15">
        <v>44104</v>
      </c>
      <c r="E240">
        <v>1.0800099999999999</v>
      </c>
      <c r="G240" s="15">
        <v>44104</v>
      </c>
      <c r="H240">
        <v>1.56029</v>
      </c>
      <c r="J240" s="15">
        <v>44104</v>
      </c>
      <c r="K240">
        <v>1.6346099999999999</v>
      </c>
      <c r="M240" s="15">
        <v>44104</v>
      </c>
      <c r="N240">
        <v>1.7701</v>
      </c>
      <c r="P240" s="12">
        <f t="shared" si="12"/>
        <v>0.92135301143149628</v>
      </c>
      <c r="Q240" s="12">
        <f t="shared" si="13"/>
        <v>1.3310783142808396</v>
      </c>
      <c r="R240" s="12">
        <f t="shared" si="14"/>
        <v>1.3944804640846271</v>
      </c>
      <c r="S240" s="12">
        <f t="shared" si="15"/>
        <v>1.5100665415458114</v>
      </c>
    </row>
    <row r="241" spans="1:19" x14ac:dyDescent="0.25">
      <c r="A241" s="15">
        <v>44134</v>
      </c>
      <c r="B241">
        <v>1.1647000000000001</v>
      </c>
      <c r="D241" s="15">
        <v>44134</v>
      </c>
      <c r="E241">
        <v>1.06806</v>
      </c>
      <c r="G241" s="15">
        <v>44134</v>
      </c>
      <c r="H241">
        <v>1.5516399999999999</v>
      </c>
      <c r="J241" s="15">
        <v>44134</v>
      </c>
      <c r="K241">
        <v>1.6570800000000001</v>
      </c>
      <c r="M241" s="15">
        <v>44134</v>
      </c>
      <c r="N241">
        <v>1.7608999999999999</v>
      </c>
      <c r="P241" s="12">
        <f t="shared" si="12"/>
        <v>0.91702584356486649</v>
      </c>
      <c r="Q241" s="12">
        <f t="shared" si="13"/>
        <v>1.3322228900145958</v>
      </c>
      <c r="R241" s="12">
        <f t="shared" si="14"/>
        <v>1.4227526401648494</v>
      </c>
      <c r="S241" s="12">
        <f t="shared" si="15"/>
        <v>1.5118914741993645</v>
      </c>
    </row>
    <row r="242" spans="1:19" x14ac:dyDescent="0.25">
      <c r="A242" s="15">
        <v>44165</v>
      </c>
      <c r="B242">
        <v>1.1954</v>
      </c>
      <c r="D242" s="15">
        <v>44165</v>
      </c>
      <c r="E242">
        <v>1.0827899999999999</v>
      </c>
      <c r="G242" s="15">
        <v>44165</v>
      </c>
      <c r="H242">
        <v>1.5513600000000001</v>
      </c>
      <c r="J242" s="15">
        <v>44165</v>
      </c>
      <c r="K242">
        <v>1.6249100000000001</v>
      </c>
      <c r="M242" s="15">
        <v>44165</v>
      </c>
      <c r="N242">
        <v>1.7009000000000001</v>
      </c>
      <c r="P242" s="12">
        <f t="shared" si="12"/>
        <v>0.90579722268696661</v>
      </c>
      <c r="Q242" s="12">
        <f t="shared" si="13"/>
        <v>1.2977748034130836</v>
      </c>
      <c r="R242" s="12">
        <f t="shared" si="14"/>
        <v>1.3593023255813954</v>
      </c>
      <c r="S242" s="12">
        <f t="shared" si="15"/>
        <v>1.4228710055211644</v>
      </c>
    </row>
    <row r="243" spans="1:19" x14ac:dyDescent="0.25">
      <c r="A243" s="15">
        <v>44196</v>
      </c>
      <c r="B243">
        <v>1.2224999999999999</v>
      </c>
      <c r="D243" s="15">
        <v>44196</v>
      </c>
      <c r="E243">
        <v>1.0820799999999999</v>
      </c>
      <c r="G243" s="15">
        <v>44196</v>
      </c>
      <c r="H243">
        <v>1.56087</v>
      </c>
      <c r="J243" s="15">
        <v>44196</v>
      </c>
      <c r="K243">
        <v>1.58884</v>
      </c>
      <c r="M243" s="15">
        <v>44196</v>
      </c>
      <c r="N243">
        <v>1.7009000000000001</v>
      </c>
      <c r="P243" s="12">
        <f t="shared" si="12"/>
        <v>0.88513701431492842</v>
      </c>
      <c r="Q243" s="12">
        <f t="shared" si="13"/>
        <v>1.2767852760736198</v>
      </c>
      <c r="R243" s="12">
        <f t="shared" si="14"/>
        <v>1.2996646216768917</v>
      </c>
      <c r="S243" s="12">
        <f t="shared" si="15"/>
        <v>1.3913292433537834</v>
      </c>
    </row>
    <row r="244" spans="1:19" x14ac:dyDescent="0.25">
      <c r="A244" s="15">
        <v>44225</v>
      </c>
      <c r="B244">
        <v>1.2136</v>
      </c>
      <c r="D244" s="15">
        <v>44225</v>
      </c>
      <c r="E244">
        <v>1.0810200000000001</v>
      </c>
      <c r="G244" s="15">
        <v>44225</v>
      </c>
      <c r="H244">
        <v>1.5505500000000001</v>
      </c>
      <c r="J244" s="15">
        <v>44225</v>
      </c>
      <c r="K244">
        <v>1.58768</v>
      </c>
      <c r="M244" s="15">
        <v>44225</v>
      </c>
      <c r="N244">
        <v>1.6865000000000001</v>
      </c>
      <c r="P244" s="12">
        <f t="shared" si="12"/>
        <v>0.89075477916941337</v>
      </c>
      <c r="Q244" s="12">
        <f t="shared" si="13"/>
        <v>1.2776450230718523</v>
      </c>
      <c r="R244" s="12">
        <f t="shared" si="14"/>
        <v>1.3082399472643376</v>
      </c>
      <c r="S244" s="12">
        <f t="shared" si="15"/>
        <v>1.3896671061305208</v>
      </c>
    </row>
    <row r="245" spans="1:19" x14ac:dyDescent="0.25">
      <c r="A245" s="15">
        <v>44253</v>
      </c>
      <c r="B245">
        <v>1.2075</v>
      </c>
      <c r="D245" s="15">
        <v>44253</v>
      </c>
      <c r="E245">
        <v>1.09714</v>
      </c>
      <c r="G245" s="15">
        <v>44253</v>
      </c>
      <c r="H245">
        <v>1.53796</v>
      </c>
      <c r="J245" s="15">
        <v>44253</v>
      </c>
      <c r="K245">
        <v>1.56674</v>
      </c>
      <c r="M245" s="15">
        <v>44253</v>
      </c>
      <c r="N245">
        <v>1.6693</v>
      </c>
      <c r="P245" s="12">
        <f t="shared" si="12"/>
        <v>0.90860455486542446</v>
      </c>
      <c r="Q245" s="12">
        <f t="shared" si="13"/>
        <v>1.273672877846791</v>
      </c>
      <c r="R245" s="12">
        <f t="shared" si="14"/>
        <v>1.2975072463768116</v>
      </c>
      <c r="S245" s="12">
        <f t="shared" si="15"/>
        <v>1.3824430641821945</v>
      </c>
    </row>
    <row r="246" spans="1:19" x14ac:dyDescent="0.25">
      <c r="A246" s="15">
        <v>44286</v>
      </c>
      <c r="B246">
        <v>1.175</v>
      </c>
      <c r="D246" s="15">
        <v>44286</v>
      </c>
      <c r="E246">
        <v>1.1069</v>
      </c>
      <c r="G246" s="15">
        <v>44286</v>
      </c>
      <c r="H246">
        <v>1.4772700000000001</v>
      </c>
      <c r="J246" s="15">
        <v>44286</v>
      </c>
      <c r="K246">
        <v>1.5426200000000001</v>
      </c>
      <c r="M246" s="15">
        <v>44286</v>
      </c>
      <c r="N246">
        <v>1.6795</v>
      </c>
      <c r="P246" s="12">
        <f t="shared" si="12"/>
        <v>0.94204255319148933</v>
      </c>
      <c r="Q246" s="12">
        <f t="shared" si="13"/>
        <v>1.2572510638297874</v>
      </c>
      <c r="R246" s="12">
        <f t="shared" si="14"/>
        <v>1.312868085106383</v>
      </c>
      <c r="S246" s="12">
        <f t="shared" si="15"/>
        <v>1.4293617021276595</v>
      </c>
    </row>
    <row r="247" spans="1:19" x14ac:dyDescent="0.25">
      <c r="A247" s="15">
        <v>44316</v>
      </c>
      <c r="B247">
        <v>1.202</v>
      </c>
      <c r="D247" s="15">
        <v>44316</v>
      </c>
      <c r="E247">
        <v>1.09781</v>
      </c>
      <c r="G247" s="15">
        <v>44316</v>
      </c>
      <c r="H247">
        <v>1.47698</v>
      </c>
      <c r="J247" s="15">
        <v>44316</v>
      </c>
      <c r="K247">
        <v>1.55742</v>
      </c>
      <c r="M247" s="15">
        <v>44316</v>
      </c>
      <c r="N247">
        <v>1.6782999999999999</v>
      </c>
      <c r="P247" s="12">
        <f t="shared" si="12"/>
        <v>0.91331946755407656</v>
      </c>
      <c r="Q247" s="12">
        <f t="shared" si="13"/>
        <v>1.2287687188019967</v>
      </c>
      <c r="R247" s="12">
        <f t="shared" si="14"/>
        <v>1.2956905158069885</v>
      </c>
      <c r="S247" s="12">
        <f t="shared" si="15"/>
        <v>1.3962562396006655</v>
      </c>
    </row>
    <row r="248" spans="1:19" x14ac:dyDescent="0.25">
      <c r="A248" s="15">
        <v>44347</v>
      </c>
      <c r="B248">
        <v>1.2228000000000001</v>
      </c>
      <c r="D248" s="15">
        <v>44347</v>
      </c>
      <c r="E248">
        <v>1.0990200000000001</v>
      </c>
      <c r="G248" s="15">
        <v>44347</v>
      </c>
      <c r="H248">
        <v>1.4756800000000001</v>
      </c>
      <c r="J248" s="15">
        <v>44347</v>
      </c>
      <c r="K248">
        <v>1.5803199999999999</v>
      </c>
      <c r="M248" s="15">
        <v>44347</v>
      </c>
      <c r="N248">
        <v>1.6796</v>
      </c>
      <c r="P248" s="12">
        <f t="shared" si="12"/>
        <v>0.89877330716388615</v>
      </c>
      <c r="Q248" s="12">
        <f t="shared" si="13"/>
        <v>1.2068040562643114</v>
      </c>
      <c r="R248" s="12">
        <f t="shared" si="14"/>
        <v>1.2923781485116126</v>
      </c>
      <c r="S248" s="12">
        <f t="shared" si="15"/>
        <v>1.3735688583578671</v>
      </c>
    </row>
    <row r="249" spans="1:19" x14ac:dyDescent="0.25">
      <c r="A249" s="15">
        <v>44377</v>
      </c>
      <c r="B249">
        <v>1.1849000000000001</v>
      </c>
      <c r="D249" s="15">
        <v>44377</v>
      </c>
      <c r="E249">
        <v>1.09656</v>
      </c>
      <c r="G249" s="15">
        <v>44377</v>
      </c>
      <c r="H249">
        <v>1.4701200000000001</v>
      </c>
      <c r="J249" s="15">
        <v>44377</v>
      </c>
      <c r="K249">
        <v>1.58053</v>
      </c>
      <c r="M249" s="15">
        <v>44377</v>
      </c>
      <c r="N249">
        <v>1.6973</v>
      </c>
      <c r="P249" s="12">
        <f t="shared" si="12"/>
        <v>0.92544518524770014</v>
      </c>
      <c r="Q249" s="12">
        <f t="shared" si="13"/>
        <v>1.2407122963963204</v>
      </c>
      <c r="R249" s="12">
        <f t="shared" si="14"/>
        <v>1.3338931555405518</v>
      </c>
      <c r="S249" s="12">
        <f t="shared" si="15"/>
        <v>1.4324415562494726</v>
      </c>
    </row>
    <row r="250" spans="1:19" x14ac:dyDescent="0.25">
      <c r="A250" s="15">
        <v>44407</v>
      </c>
      <c r="B250">
        <v>1.1870000000000001</v>
      </c>
      <c r="D250" s="15">
        <v>44407</v>
      </c>
      <c r="E250">
        <v>1.07474</v>
      </c>
      <c r="G250" s="15">
        <v>44407</v>
      </c>
      <c r="H250">
        <v>1.4808699999999999</v>
      </c>
      <c r="J250" s="15">
        <v>44407</v>
      </c>
      <c r="K250">
        <v>1.6160399999999999</v>
      </c>
      <c r="M250" s="15">
        <v>44407</v>
      </c>
      <c r="N250">
        <v>1.7020999999999999</v>
      </c>
      <c r="P250" s="12">
        <f t="shared" si="12"/>
        <v>0.90542544229149113</v>
      </c>
      <c r="Q250" s="12">
        <f t="shared" si="13"/>
        <v>1.2475737152485256</v>
      </c>
      <c r="R250" s="12">
        <f t="shared" si="14"/>
        <v>1.3614490311710192</v>
      </c>
      <c r="S250" s="12">
        <f t="shared" si="15"/>
        <v>1.4339511373209772</v>
      </c>
    </row>
    <row r="251" spans="1:19" x14ac:dyDescent="0.25">
      <c r="A251" s="15">
        <v>44439</v>
      </c>
      <c r="B251">
        <v>1.1807000000000001</v>
      </c>
      <c r="D251" s="15">
        <v>44439</v>
      </c>
      <c r="E251">
        <v>1.0813999999999999</v>
      </c>
      <c r="G251" s="15">
        <v>44439</v>
      </c>
      <c r="H251">
        <v>1.4907900000000001</v>
      </c>
      <c r="J251" s="15">
        <v>44439</v>
      </c>
      <c r="K251">
        <v>1.6148800000000001</v>
      </c>
      <c r="M251" s="15">
        <v>44439</v>
      </c>
      <c r="N251">
        <v>1.6757</v>
      </c>
      <c r="P251" s="12">
        <f t="shared" si="12"/>
        <v>0.91589734903023612</v>
      </c>
      <c r="Q251" s="12">
        <f t="shared" si="13"/>
        <v>1.2626323367493859</v>
      </c>
      <c r="R251" s="12">
        <f t="shared" si="14"/>
        <v>1.3677310070297282</v>
      </c>
      <c r="S251" s="12">
        <f t="shared" si="15"/>
        <v>1.4192428220547131</v>
      </c>
    </row>
    <row r="252" spans="1:19" x14ac:dyDescent="0.25">
      <c r="A252" s="15">
        <v>44469</v>
      </c>
      <c r="B252">
        <v>1.1571</v>
      </c>
      <c r="D252" s="15">
        <v>44469</v>
      </c>
      <c r="E252">
        <v>1.0808199999999999</v>
      </c>
      <c r="G252" s="15">
        <v>44469</v>
      </c>
      <c r="H252">
        <v>1.4680200000000001</v>
      </c>
      <c r="J252" s="15">
        <v>44469</v>
      </c>
      <c r="K252">
        <v>1.6041799999999999</v>
      </c>
      <c r="M252" s="15">
        <v>44469</v>
      </c>
      <c r="N252">
        <v>1.68</v>
      </c>
      <c r="P252" s="12">
        <f t="shared" si="12"/>
        <v>0.93407657073718764</v>
      </c>
      <c r="Q252" s="12">
        <f t="shared" si="13"/>
        <v>1.2687062483795697</v>
      </c>
      <c r="R252" s="12">
        <f t="shared" si="14"/>
        <v>1.3863797424595972</v>
      </c>
      <c r="S252" s="12">
        <f t="shared" si="15"/>
        <v>1.4519056261343013</v>
      </c>
    </row>
    <row r="253" spans="1:19" x14ac:dyDescent="0.25">
      <c r="A253" s="15">
        <v>44498</v>
      </c>
      <c r="B253">
        <v>1.1557999999999999</v>
      </c>
      <c r="D253" s="15">
        <v>44498</v>
      </c>
      <c r="E253">
        <v>1.0583800000000001</v>
      </c>
      <c r="G253" s="15">
        <v>44498</v>
      </c>
      <c r="H253">
        <v>1.43197</v>
      </c>
      <c r="J253" s="15">
        <v>44498</v>
      </c>
      <c r="K253">
        <v>1.53755</v>
      </c>
      <c r="M253" s="15">
        <v>44498</v>
      </c>
      <c r="N253">
        <v>1.6114999999999999</v>
      </c>
      <c r="P253" s="12">
        <f t="shared" si="12"/>
        <v>0.91571206091019219</v>
      </c>
      <c r="Q253" s="12">
        <f t="shared" si="13"/>
        <v>1.2389427236546116</v>
      </c>
      <c r="R253" s="12">
        <f t="shared" si="14"/>
        <v>1.3302907077349022</v>
      </c>
      <c r="S253" s="12">
        <f t="shared" si="15"/>
        <v>1.3942723654611524</v>
      </c>
    </row>
    <row r="254" spans="1:19" x14ac:dyDescent="0.25">
      <c r="A254" s="15">
        <v>44530</v>
      </c>
      <c r="B254">
        <v>1.1311</v>
      </c>
      <c r="D254" s="15">
        <v>44530</v>
      </c>
      <c r="E254">
        <v>1.04097</v>
      </c>
      <c r="G254" s="15">
        <v>44530</v>
      </c>
      <c r="H254">
        <v>1.4498899999999999</v>
      </c>
      <c r="J254" s="15">
        <v>44530</v>
      </c>
      <c r="K254">
        <v>1.5926100000000001</v>
      </c>
      <c r="M254" s="15">
        <v>44530</v>
      </c>
      <c r="N254">
        <v>1.6608000000000001</v>
      </c>
      <c r="P254" s="12">
        <f t="shared" si="12"/>
        <v>0.92031650605605164</v>
      </c>
      <c r="Q254" s="12">
        <f t="shared" si="13"/>
        <v>1.2818406860578198</v>
      </c>
      <c r="R254" s="12">
        <f t="shared" si="14"/>
        <v>1.4080187428167272</v>
      </c>
      <c r="S254" s="12">
        <f t="shared" si="15"/>
        <v>1.4683051896384052</v>
      </c>
    </row>
    <row r="255" spans="1:19" x14ac:dyDescent="0.25">
      <c r="A255" s="15">
        <v>44561</v>
      </c>
      <c r="B255">
        <v>1.137</v>
      </c>
      <c r="D255" s="15">
        <v>44561</v>
      </c>
      <c r="E255">
        <v>1.03752</v>
      </c>
      <c r="G255" s="15">
        <v>44561</v>
      </c>
      <c r="H255">
        <v>1.43726</v>
      </c>
      <c r="J255" s="15">
        <v>44561</v>
      </c>
      <c r="K255">
        <v>1.5647</v>
      </c>
      <c r="M255" s="15">
        <v>44561</v>
      </c>
      <c r="N255">
        <v>1.6648000000000001</v>
      </c>
      <c r="P255" s="12">
        <f t="shared" si="12"/>
        <v>0.91250659630606856</v>
      </c>
      <c r="Q255" s="12">
        <f t="shared" si="13"/>
        <v>1.2640809146877747</v>
      </c>
      <c r="R255" s="12">
        <f t="shared" si="14"/>
        <v>1.3761653474054529</v>
      </c>
      <c r="S255" s="12">
        <f t="shared" si="15"/>
        <v>1.4642040457343888</v>
      </c>
    </row>
    <row r="256" spans="1:19" x14ac:dyDescent="0.25">
      <c r="A256" s="15">
        <v>44592</v>
      </c>
      <c r="B256">
        <v>1.1218999999999999</v>
      </c>
      <c r="D256" s="15">
        <v>44592</v>
      </c>
      <c r="E256">
        <v>1.04335</v>
      </c>
      <c r="G256" s="15">
        <v>44592</v>
      </c>
      <c r="H256">
        <v>1.4245699999999999</v>
      </c>
      <c r="J256" s="15">
        <v>44592</v>
      </c>
      <c r="K256">
        <v>1.5886100000000001</v>
      </c>
      <c r="M256" s="15">
        <v>44592</v>
      </c>
      <c r="N256">
        <v>1.7065999999999999</v>
      </c>
      <c r="P256" s="12">
        <f t="shared" si="12"/>
        <v>0.92998484713432583</v>
      </c>
      <c r="Q256" s="12">
        <f t="shared" si="13"/>
        <v>1.2697834031553614</v>
      </c>
      <c r="R256" s="12">
        <f t="shared" si="14"/>
        <v>1.4159996434619844</v>
      </c>
      <c r="S256" s="12">
        <f t="shared" si="15"/>
        <v>1.5211694446920403</v>
      </c>
    </row>
    <row r="257" spans="1:19" x14ac:dyDescent="0.25">
      <c r="A257" s="15">
        <v>44620</v>
      </c>
      <c r="B257">
        <v>1.1205000000000001</v>
      </c>
      <c r="D257" s="15">
        <v>44620</v>
      </c>
      <c r="E257">
        <v>1.0295000000000001</v>
      </c>
      <c r="G257" s="15">
        <v>44620</v>
      </c>
      <c r="H257">
        <v>1.4216500000000001</v>
      </c>
      <c r="J257" s="15">
        <v>44620</v>
      </c>
      <c r="K257">
        <v>1.54511</v>
      </c>
      <c r="M257" s="15">
        <v>44620</v>
      </c>
      <c r="N257">
        <v>1.6577999999999999</v>
      </c>
      <c r="P257" s="12">
        <f t="shared" si="12"/>
        <v>0.91878625613565379</v>
      </c>
      <c r="Q257" s="12">
        <f t="shared" si="13"/>
        <v>1.2687639446675592</v>
      </c>
      <c r="R257" s="12">
        <f t="shared" si="14"/>
        <v>1.3789468987059348</v>
      </c>
      <c r="S257" s="12">
        <f t="shared" si="15"/>
        <v>1.4795180722891565</v>
      </c>
    </row>
    <row r="258" spans="1:19" x14ac:dyDescent="0.25">
      <c r="A258" s="15">
        <v>44651</v>
      </c>
      <c r="B258">
        <v>1.1082000000000001</v>
      </c>
      <c r="D258" s="15">
        <v>44651</v>
      </c>
      <c r="E258">
        <v>1.02199</v>
      </c>
      <c r="G258" s="15">
        <v>44651</v>
      </c>
      <c r="H258">
        <v>1.3832800000000001</v>
      </c>
      <c r="J258" s="15">
        <v>44651</v>
      </c>
      <c r="K258">
        <v>1.4783599999999999</v>
      </c>
      <c r="M258" s="15">
        <v>44651</v>
      </c>
      <c r="N258">
        <v>1.5985</v>
      </c>
      <c r="P258" s="12">
        <f t="shared" si="12"/>
        <v>0.92220718281898562</v>
      </c>
      <c r="Q258" s="12">
        <f t="shared" si="13"/>
        <v>1.2482223425374481</v>
      </c>
      <c r="R258" s="12">
        <f t="shared" si="14"/>
        <v>1.3340191301209166</v>
      </c>
      <c r="S258" s="12">
        <f t="shared" si="15"/>
        <v>1.4424291644107561</v>
      </c>
    </row>
    <row r="259" spans="1:19" x14ac:dyDescent="0.25">
      <c r="A259" s="15">
        <v>44680</v>
      </c>
      <c r="B259">
        <v>1.0545</v>
      </c>
      <c r="D259" s="15">
        <v>44680</v>
      </c>
      <c r="E259">
        <v>1.0261499999999999</v>
      </c>
      <c r="G259" s="15">
        <v>44680</v>
      </c>
      <c r="H259">
        <v>1.3541000000000001</v>
      </c>
      <c r="J259" s="15">
        <v>44680</v>
      </c>
      <c r="K259">
        <v>1.4927600000000001</v>
      </c>
      <c r="M259" s="15">
        <v>44680</v>
      </c>
      <c r="N259">
        <v>1.6329</v>
      </c>
      <c r="P259" s="12">
        <f t="shared" si="12"/>
        <v>0.97311522048364141</v>
      </c>
      <c r="Q259" s="12">
        <f t="shared" si="13"/>
        <v>1.2841156946420105</v>
      </c>
      <c r="R259" s="12">
        <f t="shared" si="14"/>
        <v>1.4156092935040305</v>
      </c>
      <c r="S259" s="12">
        <f t="shared" si="15"/>
        <v>1.5485064011379801</v>
      </c>
    </row>
    <row r="260" spans="1:19" x14ac:dyDescent="0.25">
      <c r="A260" s="15">
        <v>44712</v>
      </c>
      <c r="B260">
        <v>1.0730999999999999</v>
      </c>
      <c r="D260" s="15">
        <v>44712</v>
      </c>
      <c r="E260">
        <v>1.0285</v>
      </c>
      <c r="G260" s="15">
        <v>44712</v>
      </c>
      <c r="H260">
        <v>1.3556699999999999</v>
      </c>
      <c r="J260" s="15">
        <v>44712</v>
      </c>
      <c r="K260">
        <v>1.4932399999999999</v>
      </c>
      <c r="M260" s="15">
        <v>44712</v>
      </c>
      <c r="N260">
        <v>1.6460999999999999</v>
      </c>
      <c r="P260" s="12">
        <f t="shared" ref="P260:P311" si="16">IF(OR($A260="",$B260="",$B260=0),"",IFERROR(INDEX(E$4:E$311,MATCH($A260,D$4:D$311,0))/$B260,""))</f>
        <v>0.9584381697884633</v>
      </c>
      <c r="Q260" s="12">
        <f t="shared" ref="Q260:Q311" si="17">IF(OR($A260="",$B260="",$B260=0),"",IFERROR(INDEX(H$4:H$311,MATCH($A260,G$4:G$311,0))/$B260,""))</f>
        <v>1.2633212188985183</v>
      </c>
      <c r="R260" s="12">
        <f t="shared" ref="R260:R311" si="18">IF(OR($A260="",$B260="",$B260=0),"",IFERROR(INDEX(K$4:K$311,MATCH($A260,J$4:J$311,0))/$B260,""))</f>
        <v>1.3915198956294847</v>
      </c>
      <c r="S260" s="12">
        <f t="shared" ref="S260:S311" si="19">IF(OR($A260="",$B260="",$B260=0),"",IFERROR(INDEX(N$4:N$311,MATCH($A260,M$4:M$311,0))/$B260,""))</f>
        <v>1.5339670114621191</v>
      </c>
    </row>
    <row r="261" spans="1:19" x14ac:dyDescent="0.25">
      <c r="A261" s="15">
        <v>44742</v>
      </c>
      <c r="B261">
        <v>1.0483</v>
      </c>
      <c r="D261" s="15">
        <v>44742</v>
      </c>
      <c r="E261">
        <v>0.99975999999999998</v>
      </c>
      <c r="G261" s="15">
        <v>44742</v>
      </c>
      <c r="H261">
        <v>1.3492900000000001</v>
      </c>
      <c r="J261" s="15">
        <v>44742</v>
      </c>
      <c r="K261">
        <v>1.5165500000000001</v>
      </c>
      <c r="M261" s="15">
        <v>44742</v>
      </c>
      <c r="N261">
        <v>1.6769000000000001</v>
      </c>
      <c r="P261" s="12">
        <f t="shared" si="16"/>
        <v>0.95369646093675475</v>
      </c>
      <c r="Q261" s="12">
        <f t="shared" si="17"/>
        <v>1.2871220070590481</v>
      </c>
      <c r="R261" s="12">
        <f t="shared" si="18"/>
        <v>1.4466755699704283</v>
      </c>
      <c r="S261" s="12">
        <f t="shared" si="19"/>
        <v>1.5996375083468473</v>
      </c>
    </row>
    <row r="262" spans="1:19" x14ac:dyDescent="0.25">
      <c r="A262" s="15">
        <v>44771</v>
      </c>
      <c r="B262">
        <v>1.022</v>
      </c>
      <c r="D262" s="15">
        <v>44771</v>
      </c>
      <c r="E262">
        <v>0.97313000000000005</v>
      </c>
      <c r="G262" s="15">
        <v>44771</v>
      </c>
      <c r="H262">
        <v>1.30758</v>
      </c>
      <c r="J262" s="15">
        <v>44771</v>
      </c>
      <c r="K262">
        <v>1.4633100000000001</v>
      </c>
      <c r="M262" s="15">
        <v>44771</v>
      </c>
      <c r="N262">
        <v>1.6276999999999999</v>
      </c>
      <c r="P262" s="12">
        <f t="shared" si="16"/>
        <v>0.95218199608610565</v>
      </c>
      <c r="Q262" s="12">
        <f t="shared" si="17"/>
        <v>1.2794324853228962</v>
      </c>
      <c r="R262" s="12">
        <f t="shared" si="18"/>
        <v>1.4318101761252446</v>
      </c>
      <c r="S262" s="12">
        <f t="shared" si="19"/>
        <v>1.5926614481409</v>
      </c>
    </row>
    <row r="263" spans="1:19" x14ac:dyDescent="0.25">
      <c r="A263" s="15">
        <v>44804</v>
      </c>
      <c r="B263">
        <v>1.0053000000000001</v>
      </c>
      <c r="D263" s="15">
        <v>44804</v>
      </c>
      <c r="E263">
        <v>0.98040000000000005</v>
      </c>
      <c r="G263" s="15">
        <v>44804</v>
      </c>
      <c r="H263">
        <v>1.31646</v>
      </c>
      <c r="J263" s="15">
        <v>44804</v>
      </c>
      <c r="K263">
        <v>1.4663299999999999</v>
      </c>
      <c r="M263" s="15">
        <v>44804</v>
      </c>
      <c r="N263">
        <v>1.6403000000000001</v>
      </c>
      <c r="P263" s="12">
        <f t="shared" si="16"/>
        <v>0.97523127424649358</v>
      </c>
      <c r="Q263" s="12">
        <f t="shared" si="17"/>
        <v>1.3095195464040583</v>
      </c>
      <c r="R263" s="12">
        <f t="shared" si="18"/>
        <v>1.4585994230577934</v>
      </c>
      <c r="S263" s="12">
        <f t="shared" si="19"/>
        <v>1.631652243111509</v>
      </c>
    </row>
    <row r="264" spans="1:19" x14ac:dyDescent="0.25">
      <c r="A264" s="15">
        <v>44834</v>
      </c>
      <c r="B264">
        <v>0.98019999999999996</v>
      </c>
      <c r="D264" s="15">
        <v>44834</v>
      </c>
      <c r="E264">
        <v>0.96740000000000004</v>
      </c>
      <c r="G264" s="15">
        <v>44834</v>
      </c>
      <c r="H264">
        <v>1.3557699999999999</v>
      </c>
      <c r="J264" s="15">
        <v>44834</v>
      </c>
      <c r="K264">
        <v>1.53169</v>
      </c>
      <c r="M264" s="15">
        <v>44834</v>
      </c>
      <c r="N264">
        <v>1.7504</v>
      </c>
      <c r="P264" s="12">
        <f t="shared" si="16"/>
        <v>0.98694144052234245</v>
      </c>
      <c r="Q264" s="12">
        <f t="shared" si="17"/>
        <v>1.3831564986737401</v>
      </c>
      <c r="R264" s="12">
        <f t="shared" si="18"/>
        <v>1.562630075494797</v>
      </c>
      <c r="S264" s="12">
        <f t="shared" si="19"/>
        <v>1.7857580085696796</v>
      </c>
    </row>
    <row r="265" spans="1:19" x14ac:dyDescent="0.25">
      <c r="A265" s="15">
        <v>44865</v>
      </c>
      <c r="B265">
        <v>0.98870000000000002</v>
      </c>
      <c r="D265" s="15">
        <v>44865</v>
      </c>
      <c r="E265">
        <v>0.98963000000000001</v>
      </c>
      <c r="G265" s="15">
        <v>44865</v>
      </c>
      <c r="H265">
        <v>1.3485400000000001</v>
      </c>
      <c r="J265" s="15">
        <v>44865</v>
      </c>
      <c r="K265">
        <v>1.54593</v>
      </c>
      <c r="M265" s="15">
        <v>44865</v>
      </c>
      <c r="N265">
        <v>1.7000999999999999</v>
      </c>
      <c r="P265" s="12">
        <f t="shared" si="16"/>
        <v>1.0009406291089309</v>
      </c>
      <c r="Q265" s="12">
        <f t="shared" si="17"/>
        <v>1.3639526651158087</v>
      </c>
      <c r="R265" s="12">
        <f t="shared" si="18"/>
        <v>1.5635986649135227</v>
      </c>
      <c r="S265" s="12">
        <f t="shared" si="19"/>
        <v>1.7195306968746837</v>
      </c>
    </row>
    <row r="266" spans="1:19" x14ac:dyDescent="0.25">
      <c r="A266" s="15">
        <v>44895</v>
      </c>
      <c r="B266">
        <v>1.0315000000000001</v>
      </c>
      <c r="D266" s="15">
        <v>44895</v>
      </c>
      <c r="E266">
        <v>0.98140000000000005</v>
      </c>
      <c r="G266" s="15">
        <v>44895</v>
      </c>
      <c r="H266">
        <v>1.39608</v>
      </c>
      <c r="J266" s="15">
        <v>44895</v>
      </c>
      <c r="K266">
        <v>1.53695</v>
      </c>
      <c r="M266" s="15">
        <v>44895</v>
      </c>
      <c r="N266">
        <v>1.6540999999999999</v>
      </c>
      <c r="P266" s="12">
        <f t="shared" si="16"/>
        <v>0.95142995637421224</v>
      </c>
      <c r="Q266" s="12">
        <f t="shared" si="17"/>
        <v>1.3534464372273387</v>
      </c>
      <c r="R266" s="12">
        <f t="shared" si="18"/>
        <v>1.4900145419292292</v>
      </c>
      <c r="S266" s="12">
        <f t="shared" si="19"/>
        <v>1.6035870092098883</v>
      </c>
    </row>
    <row r="267" spans="1:19" x14ac:dyDescent="0.25">
      <c r="A267" s="15">
        <v>44925</v>
      </c>
      <c r="B267">
        <v>1.0705</v>
      </c>
      <c r="D267" s="15">
        <v>44925</v>
      </c>
      <c r="E267">
        <v>0.98956</v>
      </c>
      <c r="G267" s="15">
        <v>44925</v>
      </c>
      <c r="H267">
        <v>1.45055</v>
      </c>
      <c r="J267" s="15">
        <v>44925</v>
      </c>
      <c r="K267">
        <v>1.57172</v>
      </c>
      <c r="M267" s="15">
        <v>44925</v>
      </c>
      <c r="N267">
        <v>1.6859</v>
      </c>
      <c r="P267" s="12">
        <f t="shared" si="16"/>
        <v>0.92439047174217659</v>
      </c>
      <c r="Q267" s="12">
        <f t="shared" si="17"/>
        <v>1.3550210182157869</v>
      </c>
      <c r="R267" s="12">
        <f t="shared" si="18"/>
        <v>1.468211116300794</v>
      </c>
      <c r="S267" s="12">
        <f t="shared" si="19"/>
        <v>1.5748715553479682</v>
      </c>
    </row>
    <row r="268" spans="1:19" x14ac:dyDescent="0.25">
      <c r="A268" s="15">
        <v>44957</v>
      </c>
      <c r="B268">
        <v>1.0865</v>
      </c>
      <c r="D268" s="15">
        <v>44957</v>
      </c>
      <c r="E268">
        <v>0.99690999999999996</v>
      </c>
      <c r="G268" s="15">
        <v>44957</v>
      </c>
      <c r="H268">
        <v>1.4474899999999999</v>
      </c>
      <c r="J268" s="15">
        <v>44957</v>
      </c>
      <c r="K268">
        <v>1.54145</v>
      </c>
      <c r="M268" s="15">
        <v>44957</v>
      </c>
      <c r="N268">
        <v>1.6831</v>
      </c>
      <c r="P268" s="12">
        <f t="shared" si="16"/>
        <v>0.91754256787850896</v>
      </c>
      <c r="Q268" s="12">
        <f t="shared" si="17"/>
        <v>1.3322503451449608</v>
      </c>
      <c r="R268" s="12">
        <f t="shared" si="18"/>
        <v>1.4187298665439485</v>
      </c>
      <c r="S268" s="12">
        <f t="shared" si="19"/>
        <v>1.5491026231017027</v>
      </c>
    </row>
    <row r="269" spans="1:19" x14ac:dyDescent="0.25">
      <c r="A269" s="15">
        <v>44985</v>
      </c>
      <c r="B269">
        <v>1.0606</v>
      </c>
      <c r="D269" s="15">
        <v>44985</v>
      </c>
      <c r="E269">
        <v>0.99406000000000005</v>
      </c>
      <c r="G269" s="15">
        <v>44985</v>
      </c>
      <c r="H269">
        <v>1.4441200000000001</v>
      </c>
      <c r="J269" s="15">
        <v>44985</v>
      </c>
      <c r="K269">
        <v>1.5707100000000001</v>
      </c>
      <c r="M269" s="15">
        <v>44985</v>
      </c>
      <c r="N269">
        <v>1.7099</v>
      </c>
      <c r="P269" s="12">
        <f t="shared" si="16"/>
        <v>0.93726192721101265</v>
      </c>
      <c r="Q269" s="12">
        <f t="shared" si="17"/>
        <v>1.3616066377522158</v>
      </c>
      <c r="R269" s="12">
        <f t="shared" si="18"/>
        <v>1.4809636055063173</v>
      </c>
      <c r="S269" s="12">
        <f t="shared" si="19"/>
        <v>1.6122006411465208</v>
      </c>
    </row>
    <row r="270" spans="1:19" x14ac:dyDescent="0.25">
      <c r="A270" s="15">
        <v>45016</v>
      </c>
      <c r="B270">
        <v>1.0839000000000001</v>
      </c>
      <c r="D270" s="15">
        <v>45016</v>
      </c>
      <c r="E270">
        <v>0.99217999999999995</v>
      </c>
      <c r="G270" s="15">
        <v>45016</v>
      </c>
      <c r="H270">
        <v>1.46526</v>
      </c>
      <c r="J270" s="15">
        <v>45016</v>
      </c>
      <c r="K270">
        <v>1.6216699999999999</v>
      </c>
      <c r="M270" s="15">
        <v>45016</v>
      </c>
      <c r="N270">
        <v>1.7323999999999999</v>
      </c>
      <c r="P270" s="12">
        <f t="shared" si="16"/>
        <v>0.91537964756896384</v>
      </c>
      <c r="Q270" s="12">
        <f t="shared" si="17"/>
        <v>1.3518405756988652</v>
      </c>
      <c r="R270" s="12">
        <f t="shared" si="18"/>
        <v>1.496143555678568</v>
      </c>
      <c r="S270" s="12">
        <f t="shared" si="19"/>
        <v>1.5983024264231016</v>
      </c>
    </row>
    <row r="271" spans="1:19" x14ac:dyDescent="0.25">
      <c r="A271" s="15">
        <v>45044</v>
      </c>
      <c r="B271">
        <v>1.1019000000000001</v>
      </c>
      <c r="D271" s="15">
        <v>45044</v>
      </c>
      <c r="E271">
        <v>0.98540000000000005</v>
      </c>
      <c r="G271" s="15">
        <v>45044</v>
      </c>
      <c r="H271">
        <v>1.4931700000000001</v>
      </c>
      <c r="J271" s="15">
        <v>45044</v>
      </c>
      <c r="K271">
        <v>1.6657999999999999</v>
      </c>
      <c r="M271" s="15">
        <v>45044</v>
      </c>
      <c r="N271">
        <v>1.7825</v>
      </c>
      <c r="P271" s="12">
        <f t="shared" si="16"/>
        <v>0.89427352754333422</v>
      </c>
      <c r="Q271" s="12">
        <f t="shared" si="17"/>
        <v>1.3550866684817133</v>
      </c>
      <c r="R271" s="12">
        <f t="shared" si="18"/>
        <v>1.5117524276250112</v>
      </c>
      <c r="S271" s="12">
        <f t="shared" si="19"/>
        <v>1.6176604047554224</v>
      </c>
    </row>
    <row r="272" spans="1:19" x14ac:dyDescent="0.25">
      <c r="A272" s="15">
        <v>45077</v>
      </c>
      <c r="B272">
        <v>1.0638000000000001</v>
      </c>
      <c r="D272" s="15">
        <v>45077</v>
      </c>
      <c r="E272">
        <v>0.97267999999999999</v>
      </c>
      <c r="G272" s="15">
        <v>45077</v>
      </c>
      <c r="H272">
        <v>1.4472</v>
      </c>
      <c r="J272" s="15">
        <v>45077</v>
      </c>
      <c r="K272">
        <v>1.6454299999999999</v>
      </c>
      <c r="M272" s="15">
        <v>45077</v>
      </c>
      <c r="N272">
        <v>1.7751999999999999</v>
      </c>
      <c r="P272" s="12">
        <f t="shared" si="16"/>
        <v>0.9143448016544462</v>
      </c>
      <c r="Q272" s="12">
        <f t="shared" si="17"/>
        <v>1.3604060913705582</v>
      </c>
      <c r="R272" s="12">
        <f t="shared" si="18"/>
        <v>1.5467475089302498</v>
      </c>
      <c r="S272" s="12">
        <f t="shared" si="19"/>
        <v>1.6687347245722879</v>
      </c>
    </row>
    <row r="273" spans="1:19" x14ac:dyDescent="0.25">
      <c r="A273" s="15">
        <v>45107</v>
      </c>
      <c r="B273">
        <v>1.0909</v>
      </c>
      <c r="D273" s="15">
        <v>45107</v>
      </c>
      <c r="E273">
        <v>0.97697000000000001</v>
      </c>
      <c r="G273" s="15">
        <v>45107</v>
      </c>
      <c r="H273">
        <v>1.4448700000000001</v>
      </c>
      <c r="J273" s="15">
        <v>45107</v>
      </c>
      <c r="K273">
        <v>1.63771</v>
      </c>
      <c r="M273" s="15">
        <v>45107</v>
      </c>
      <c r="N273">
        <v>1.7797000000000001</v>
      </c>
      <c r="P273" s="12">
        <f t="shared" si="16"/>
        <v>0.89556329636080301</v>
      </c>
      <c r="Q273" s="12">
        <f t="shared" si="17"/>
        <v>1.3244752039600332</v>
      </c>
      <c r="R273" s="12">
        <f t="shared" si="18"/>
        <v>1.5012466770556421</v>
      </c>
      <c r="S273" s="12">
        <f t="shared" si="19"/>
        <v>1.6314052617105144</v>
      </c>
    </row>
    <row r="274" spans="1:19" x14ac:dyDescent="0.25">
      <c r="A274" s="15">
        <v>45138</v>
      </c>
      <c r="B274">
        <v>1.1007</v>
      </c>
      <c r="D274" s="15">
        <v>45138</v>
      </c>
      <c r="E274">
        <v>0.95709999999999995</v>
      </c>
      <c r="G274" s="15">
        <v>45138</v>
      </c>
      <c r="H274">
        <v>1.4490799999999999</v>
      </c>
      <c r="J274" s="15">
        <v>45138</v>
      </c>
      <c r="K274">
        <v>1.6368400000000001</v>
      </c>
      <c r="M274" s="15">
        <v>45138</v>
      </c>
      <c r="N274">
        <v>1.7694000000000001</v>
      </c>
      <c r="P274" s="12">
        <f t="shared" si="16"/>
        <v>0.86953756700281637</v>
      </c>
      <c r="Q274" s="12">
        <f t="shared" si="17"/>
        <v>1.3165076769328607</v>
      </c>
      <c r="R274" s="12">
        <f t="shared" si="18"/>
        <v>1.4870900336149724</v>
      </c>
      <c r="S274" s="12">
        <f t="shared" si="19"/>
        <v>1.607522485690924</v>
      </c>
    </row>
    <row r="275" spans="1:19" x14ac:dyDescent="0.25">
      <c r="A275" s="15">
        <v>45169</v>
      </c>
      <c r="B275">
        <v>1.0839000000000001</v>
      </c>
      <c r="D275" s="15">
        <v>45169</v>
      </c>
      <c r="E275">
        <v>0.95698000000000005</v>
      </c>
      <c r="G275" s="15">
        <v>45169</v>
      </c>
      <c r="H275">
        <v>1.4680800000000001</v>
      </c>
      <c r="J275" s="15">
        <v>45169</v>
      </c>
      <c r="K275">
        <v>1.67513</v>
      </c>
      <c r="M275" s="15">
        <v>45169</v>
      </c>
      <c r="N275">
        <v>1.8216000000000001</v>
      </c>
      <c r="P275" s="12">
        <f t="shared" si="16"/>
        <v>0.88290432696743237</v>
      </c>
      <c r="Q275" s="12">
        <f t="shared" si="17"/>
        <v>1.3544422917243288</v>
      </c>
      <c r="R275" s="12">
        <f t="shared" si="18"/>
        <v>1.545465448842144</v>
      </c>
      <c r="S275" s="12">
        <f t="shared" si="19"/>
        <v>1.6805978411292555</v>
      </c>
    </row>
    <row r="276" spans="1:19" x14ac:dyDescent="0.25">
      <c r="A276" s="15">
        <v>45198</v>
      </c>
      <c r="B276">
        <v>1.0572999999999999</v>
      </c>
      <c r="D276" s="15">
        <v>45198</v>
      </c>
      <c r="E276">
        <v>0.96762999999999999</v>
      </c>
      <c r="G276" s="15">
        <v>45198</v>
      </c>
      <c r="H276">
        <v>1.43574</v>
      </c>
      <c r="J276" s="15">
        <v>45198</v>
      </c>
      <c r="K276">
        <v>1.6430800000000001</v>
      </c>
      <c r="M276" s="15">
        <v>45198</v>
      </c>
      <c r="N276">
        <v>1.7628999999999999</v>
      </c>
      <c r="P276" s="12">
        <f t="shared" si="16"/>
        <v>0.91518963397332831</v>
      </c>
      <c r="Q276" s="12">
        <f t="shared" si="17"/>
        <v>1.3579305778870709</v>
      </c>
      <c r="R276" s="12">
        <f t="shared" si="18"/>
        <v>1.5540338598316468</v>
      </c>
      <c r="S276" s="12">
        <f t="shared" si="19"/>
        <v>1.6673602572590562</v>
      </c>
    </row>
    <row r="277" spans="1:19" x14ac:dyDescent="0.25">
      <c r="A277" s="15">
        <v>45230</v>
      </c>
      <c r="B277">
        <v>1.0575000000000001</v>
      </c>
      <c r="D277" s="15">
        <v>45230</v>
      </c>
      <c r="E277">
        <v>0.96187999999999996</v>
      </c>
      <c r="G277" s="15">
        <v>45230</v>
      </c>
      <c r="H277">
        <v>1.46773</v>
      </c>
      <c r="J277" s="15">
        <v>45230</v>
      </c>
      <c r="K277">
        <v>1.6682600000000001</v>
      </c>
      <c r="M277" s="15">
        <v>45230</v>
      </c>
      <c r="N277">
        <v>1.8176000000000001</v>
      </c>
      <c r="P277" s="12">
        <f t="shared" si="16"/>
        <v>0.90957919621749395</v>
      </c>
      <c r="Q277" s="12">
        <f t="shared" si="17"/>
        <v>1.3879243498817966</v>
      </c>
      <c r="R277" s="12">
        <f t="shared" si="18"/>
        <v>1.5775508274231678</v>
      </c>
      <c r="S277" s="12">
        <f t="shared" si="19"/>
        <v>1.7187706855791962</v>
      </c>
    </row>
    <row r="278" spans="1:19" x14ac:dyDescent="0.25">
      <c r="A278" s="15">
        <v>45260</v>
      </c>
      <c r="B278">
        <v>1.089</v>
      </c>
      <c r="D278" s="15">
        <v>45260</v>
      </c>
      <c r="E278">
        <v>0.95274999999999999</v>
      </c>
      <c r="G278" s="15">
        <v>45260</v>
      </c>
      <c r="H278">
        <v>1.4793400000000001</v>
      </c>
      <c r="J278" s="15">
        <v>45260</v>
      </c>
      <c r="K278">
        <v>1.6487799999999999</v>
      </c>
      <c r="M278" s="15">
        <v>45260</v>
      </c>
      <c r="N278">
        <v>1.7697000000000001</v>
      </c>
      <c r="P278" s="12">
        <f t="shared" si="16"/>
        <v>0.87488521579430667</v>
      </c>
      <c r="Q278" s="12">
        <f t="shared" si="17"/>
        <v>1.3584389348025714</v>
      </c>
      <c r="R278" s="12">
        <f t="shared" si="18"/>
        <v>1.5140312213039486</v>
      </c>
      <c r="S278" s="12">
        <f t="shared" si="19"/>
        <v>1.625068870523416</v>
      </c>
    </row>
    <row r="279" spans="1:19" x14ac:dyDescent="0.25">
      <c r="A279" s="15">
        <v>45289</v>
      </c>
      <c r="B279">
        <v>1.1039000000000001</v>
      </c>
      <c r="D279" s="15">
        <v>45289</v>
      </c>
      <c r="E279">
        <v>0.92886999999999997</v>
      </c>
      <c r="G279" s="15">
        <v>45289</v>
      </c>
      <c r="H279">
        <v>1.46061</v>
      </c>
      <c r="J279" s="15">
        <v>45289</v>
      </c>
      <c r="K279">
        <v>1.6205700000000001</v>
      </c>
      <c r="M279" s="15">
        <v>45289</v>
      </c>
      <c r="N279">
        <v>1.7478</v>
      </c>
      <c r="P279" s="12">
        <f t="shared" si="16"/>
        <v>0.84144397137421856</v>
      </c>
      <c r="Q279" s="12">
        <f t="shared" si="17"/>
        <v>1.3231361536371047</v>
      </c>
      <c r="R279" s="12">
        <f t="shared" si="18"/>
        <v>1.4680405833861763</v>
      </c>
      <c r="S279" s="12">
        <f t="shared" si="19"/>
        <v>1.5832955883685116</v>
      </c>
    </row>
    <row r="280" spans="1:19" x14ac:dyDescent="0.25">
      <c r="A280" s="15">
        <v>45322</v>
      </c>
      <c r="B280">
        <v>1.085</v>
      </c>
      <c r="D280" s="15">
        <v>45322</v>
      </c>
      <c r="E280">
        <v>0.93271999999999999</v>
      </c>
      <c r="G280" s="15">
        <v>45322</v>
      </c>
      <c r="H280">
        <v>1.45306</v>
      </c>
      <c r="J280" s="15">
        <v>45322</v>
      </c>
      <c r="K280">
        <v>1.64507</v>
      </c>
      <c r="M280" s="15">
        <v>45322</v>
      </c>
      <c r="N280">
        <v>1.7669999999999999</v>
      </c>
      <c r="P280" s="12">
        <f t="shared" si="16"/>
        <v>0.85964976958525352</v>
      </c>
      <c r="Q280" s="12">
        <f t="shared" si="17"/>
        <v>1.3392258064516129</v>
      </c>
      <c r="R280" s="12">
        <f t="shared" si="18"/>
        <v>1.5161935483870967</v>
      </c>
      <c r="S280" s="12">
        <f t="shared" si="19"/>
        <v>1.6285714285714286</v>
      </c>
    </row>
    <row r="281" spans="1:19" x14ac:dyDescent="0.25">
      <c r="A281" s="15">
        <v>45351</v>
      </c>
      <c r="B281">
        <v>1.08</v>
      </c>
      <c r="D281" s="15">
        <v>45351</v>
      </c>
      <c r="E281">
        <v>0.95457000000000003</v>
      </c>
      <c r="G281" s="15">
        <v>45351</v>
      </c>
      <c r="H281">
        <v>1.4663999999999999</v>
      </c>
      <c r="J281" s="15">
        <v>45351</v>
      </c>
      <c r="K281">
        <v>1.6629799999999999</v>
      </c>
      <c r="M281" s="15">
        <v>45351</v>
      </c>
      <c r="N281">
        <v>1.7759</v>
      </c>
      <c r="P281" s="12">
        <f t="shared" si="16"/>
        <v>0.8838611111111111</v>
      </c>
      <c r="Q281" s="12">
        <f t="shared" si="17"/>
        <v>1.3577777777777775</v>
      </c>
      <c r="R281" s="12">
        <f t="shared" si="18"/>
        <v>1.5397962962962961</v>
      </c>
      <c r="S281" s="12">
        <f t="shared" si="19"/>
        <v>1.6443518518518518</v>
      </c>
    </row>
    <row r="282" spans="1:19" x14ac:dyDescent="0.25">
      <c r="A282" s="15">
        <v>45380</v>
      </c>
      <c r="B282">
        <v>1.079</v>
      </c>
      <c r="D282" s="15">
        <v>45380</v>
      </c>
      <c r="E282">
        <v>0.97306999999999999</v>
      </c>
      <c r="G282" s="15">
        <v>45380</v>
      </c>
      <c r="H282">
        <v>1.4614</v>
      </c>
      <c r="J282" s="15">
        <v>45380</v>
      </c>
      <c r="K282">
        <v>1.6553</v>
      </c>
      <c r="M282" s="15">
        <v>45380</v>
      </c>
      <c r="N282">
        <v>1.8050999999999999</v>
      </c>
      <c r="P282" s="12">
        <f t="shared" si="16"/>
        <v>0.90182576459684893</v>
      </c>
      <c r="Q282" s="12">
        <f t="shared" si="17"/>
        <v>1.3544022242817424</v>
      </c>
      <c r="R282" s="12">
        <f t="shared" si="18"/>
        <v>1.5341056533827619</v>
      </c>
      <c r="S282" s="12">
        <f t="shared" si="19"/>
        <v>1.672937905468026</v>
      </c>
    </row>
    <row r="283" spans="1:19" x14ac:dyDescent="0.25">
      <c r="A283" s="15">
        <v>45412</v>
      </c>
      <c r="B283">
        <v>1.0679000000000001</v>
      </c>
      <c r="D283" s="15">
        <v>45412</v>
      </c>
      <c r="E283">
        <v>0.98002999999999996</v>
      </c>
      <c r="G283" s="15">
        <v>45412</v>
      </c>
      <c r="H283">
        <v>1.4688699999999999</v>
      </c>
      <c r="J283" s="15">
        <v>45412</v>
      </c>
      <c r="K283">
        <v>1.6461300000000001</v>
      </c>
      <c r="M283" s="15">
        <v>45412</v>
      </c>
      <c r="N283">
        <v>1.8085</v>
      </c>
      <c r="P283" s="12">
        <f t="shared" si="16"/>
        <v>0.91771701470175104</v>
      </c>
      <c r="Q283" s="12">
        <f t="shared" si="17"/>
        <v>1.3754752317632735</v>
      </c>
      <c r="R283" s="12">
        <f t="shared" si="18"/>
        <v>1.5414645566064238</v>
      </c>
      <c r="S283" s="12">
        <f t="shared" si="19"/>
        <v>1.6935106283359864</v>
      </c>
    </row>
    <row r="284" spans="1:19" x14ac:dyDescent="0.25">
      <c r="A284" s="15">
        <v>45443</v>
      </c>
      <c r="B284">
        <v>1.0848</v>
      </c>
      <c r="D284" s="15">
        <v>45443</v>
      </c>
      <c r="E284">
        <v>0.97889000000000004</v>
      </c>
      <c r="G284" s="15">
        <v>45443</v>
      </c>
      <c r="H284">
        <v>1.47838</v>
      </c>
      <c r="J284" s="15">
        <v>45443</v>
      </c>
      <c r="K284">
        <v>1.6308499999999999</v>
      </c>
      <c r="M284" s="15">
        <v>45443</v>
      </c>
      <c r="N284">
        <v>1.7647999999999999</v>
      </c>
      <c r="P284" s="12">
        <f t="shared" si="16"/>
        <v>0.90236910029498529</v>
      </c>
      <c r="Q284" s="12">
        <f t="shared" si="17"/>
        <v>1.3628134218289085</v>
      </c>
      <c r="R284" s="12">
        <f t="shared" si="18"/>
        <v>1.5033646755162242</v>
      </c>
      <c r="S284" s="12">
        <f t="shared" si="19"/>
        <v>1.626843657817109</v>
      </c>
    </row>
    <row r="285" spans="1:19" x14ac:dyDescent="0.25">
      <c r="A285" s="15">
        <v>45471</v>
      </c>
      <c r="B285">
        <v>1.0712999999999999</v>
      </c>
      <c r="D285" s="15">
        <v>45471</v>
      </c>
      <c r="E285">
        <v>0.96282000000000001</v>
      </c>
      <c r="G285" s="15">
        <v>45471</v>
      </c>
      <c r="H285">
        <v>1.4655400000000001</v>
      </c>
      <c r="J285" s="15">
        <v>45471</v>
      </c>
      <c r="K285">
        <v>1.6063799999999999</v>
      </c>
      <c r="M285" s="15">
        <v>45471</v>
      </c>
      <c r="N285">
        <v>1.7589999999999999</v>
      </c>
      <c r="P285" s="12">
        <f t="shared" si="16"/>
        <v>0.89873984878185387</v>
      </c>
      <c r="Q285" s="12">
        <f t="shared" si="17"/>
        <v>1.3680014935125551</v>
      </c>
      <c r="R285" s="12">
        <f t="shared" si="18"/>
        <v>1.4994679361523384</v>
      </c>
      <c r="S285" s="12">
        <f t="shared" si="19"/>
        <v>1.6419303649771306</v>
      </c>
    </row>
    <row r="286" spans="1:19" x14ac:dyDescent="0.25">
      <c r="A286" s="15">
        <v>45504</v>
      </c>
      <c r="B286">
        <v>1.0809</v>
      </c>
      <c r="D286" s="15">
        <v>45504</v>
      </c>
      <c r="E286">
        <v>0.95187999999999995</v>
      </c>
      <c r="G286" s="15">
        <v>45504</v>
      </c>
      <c r="H286">
        <v>1.4925299999999999</v>
      </c>
      <c r="J286" s="15">
        <v>45504</v>
      </c>
      <c r="K286">
        <v>1.6549700000000001</v>
      </c>
      <c r="M286" s="15">
        <v>45504</v>
      </c>
      <c r="N286">
        <v>1.8186</v>
      </c>
      <c r="P286" s="12">
        <f t="shared" si="16"/>
        <v>0.88063650661485793</v>
      </c>
      <c r="Q286" s="12">
        <f t="shared" si="17"/>
        <v>1.3808215376075492</v>
      </c>
      <c r="R286" s="12">
        <f t="shared" si="18"/>
        <v>1.5311037098714035</v>
      </c>
      <c r="S286" s="12">
        <f t="shared" si="19"/>
        <v>1.6824868165417708</v>
      </c>
    </row>
    <row r="287" spans="1:19" x14ac:dyDescent="0.25">
      <c r="A287" s="15">
        <v>45534</v>
      </c>
      <c r="B287">
        <v>1.1048</v>
      </c>
      <c r="D287" s="15">
        <v>45534</v>
      </c>
      <c r="E287">
        <v>0.93901999999999997</v>
      </c>
      <c r="G287" s="15">
        <v>45534</v>
      </c>
      <c r="H287">
        <v>1.4907300000000001</v>
      </c>
      <c r="J287" s="15">
        <v>45534</v>
      </c>
      <c r="K287">
        <v>1.6332</v>
      </c>
      <c r="M287" s="15">
        <v>45534</v>
      </c>
      <c r="N287">
        <v>1.7682</v>
      </c>
      <c r="P287" s="12">
        <f t="shared" si="16"/>
        <v>0.84994569152787836</v>
      </c>
      <c r="Q287" s="12">
        <f t="shared" si="17"/>
        <v>1.3493211440984794</v>
      </c>
      <c r="R287" s="12">
        <f t="shared" si="18"/>
        <v>1.4782766111513397</v>
      </c>
      <c r="S287" s="12">
        <f t="shared" si="19"/>
        <v>1.6004706734250542</v>
      </c>
    </row>
    <row r="288" spans="1:19" x14ac:dyDescent="0.25">
      <c r="A288" s="15">
        <v>45565</v>
      </c>
      <c r="B288">
        <v>1.1148</v>
      </c>
      <c r="D288" s="15">
        <v>45565</v>
      </c>
      <c r="E288">
        <v>0.94147000000000003</v>
      </c>
      <c r="G288" s="15">
        <v>45565</v>
      </c>
      <c r="H288">
        <v>1.5058100000000001</v>
      </c>
      <c r="J288" s="15">
        <v>45565</v>
      </c>
      <c r="K288">
        <v>1.6066499999999999</v>
      </c>
      <c r="M288" s="15">
        <v>45565</v>
      </c>
      <c r="N288">
        <v>1.7492000000000001</v>
      </c>
      <c r="P288" s="12">
        <f t="shared" si="16"/>
        <v>0.84451919626838901</v>
      </c>
      <c r="Q288" s="12">
        <f t="shared" si="17"/>
        <v>1.3507445281664874</v>
      </c>
      <c r="R288" s="12">
        <f t="shared" si="18"/>
        <v>1.4412002152852528</v>
      </c>
      <c r="S288" s="12">
        <f t="shared" si="19"/>
        <v>1.569070685324722</v>
      </c>
    </row>
    <row r="289" spans="1:19" x14ac:dyDescent="0.25">
      <c r="A289" s="15">
        <v>45596</v>
      </c>
      <c r="B289">
        <v>1.0862000000000001</v>
      </c>
      <c r="D289" s="15">
        <v>45596</v>
      </c>
      <c r="E289">
        <v>0.93979999999999997</v>
      </c>
      <c r="G289" s="15">
        <v>45596</v>
      </c>
      <c r="H289">
        <v>1.5120899999999999</v>
      </c>
      <c r="J289" s="15">
        <v>45596</v>
      </c>
      <c r="K289">
        <v>1.6538999999999999</v>
      </c>
      <c r="M289" s="15">
        <v>45596</v>
      </c>
      <c r="N289">
        <v>1.8218000000000001</v>
      </c>
      <c r="P289" s="12">
        <f t="shared" si="16"/>
        <v>0.86521819186153559</v>
      </c>
      <c r="Q289" s="12">
        <f t="shared" si="17"/>
        <v>1.3920916958202907</v>
      </c>
      <c r="R289" s="12">
        <f t="shared" si="18"/>
        <v>1.5226477628429385</v>
      </c>
      <c r="S289" s="12">
        <f t="shared" si="19"/>
        <v>1.677223347449825</v>
      </c>
    </row>
    <row r="290" spans="1:19" x14ac:dyDescent="0.25">
      <c r="A290" s="15">
        <v>45625</v>
      </c>
      <c r="B290">
        <v>1.0577000000000001</v>
      </c>
      <c r="D290" s="15">
        <v>45625</v>
      </c>
      <c r="E290">
        <v>0.93203000000000003</v>
      </c>
      <c r="G290" s="15">
        <v>45625</v>
      </c>
      <c r="H290">
        <v>1.4810700000000001</v>
      </c>
      <c r="J290" s="15">
        <v>45625</v>
      </c>
      <c r="K290">
        <v>1.6246100000000001</v>
      </c>
      <c r="M290" s="15">
        <v>45625</v>
      </c>
      <c r="N290">
        <v>1.786</v>
      </c>
      <c r="P290" s="12">
        <f t="shared" si="16"/>
        <v>0.88118559137751717</v>
      </c>
      <c r="Q290" s="12">
        <f t="shared" si="17"/>
        <v>1.4002741798241467</v>
      </c>
      <c r="R290" s="12">
        <f t="shared" si="18"/>
        <v>1.5359837383000852</v>
      </c>
      <c r="S290" s="12">
        <f t="shared" si="19"/>
        <v>1.6885695376760894</v>
      </c>
    </row>
    <row r="291" spans="1:19" x14ac:dyDescent="0.25">
      <c r="A291" s="15">
        <v>45657</v>
      </c>
      <c r="B291">
        <v>1.0348999999999999</v>
      </c>
      <c r="D291" s="15">
        <v>45657</v>
      </c>
      <c r="E291">
        <v>0.93955</v>
      </c>
      <c r="G291" s="15">
        <v>45657</v>
      </c>
      <c r="H291">
        <v>1.48912</v>
      </c>
      <c r="J291" s="15">
        <v>45657</v>
      </c>
      <c r="K291">
        <v>1.6731799999999999</v>
      </c>
      <c r="M291" s="15">
        <v>45657</v>
      </c>
      <c r="N291">
        <v>1.8507</v>
      </c>
      <c r="P291" s="12">
        <f t="shared" si="16"/>
        <v>0.90786549425065233</v>
      </c>
      <c r="Q291" s="12">
        <f t="shared" si="17"/>
        <v>1.4389023094018747</v>
      </c>
      <c r="R291" s="12">
        <f t="shared" si="18"/>
        <v>1.6167552420523723</v>
      </c>
      <c r="S291" s="12">
        <f t="shared" si="19"/>
        <v>1.788288723548169</v>
      </c>
    </row>
    <row r="292" spans="1:19" x14ac:dyDescent="0.25">
      <c r="A292" s="15">
        <v>45688</v>
      </c>
      <c r="B292">
        <v>1.0362</v>
      </c>
      <c r="D292" s="15">
        <v>45688</v>
      </c>
      <c r="E292">
        <v>0.94411</v>
      </c>
      <c r="G292" s="15">
        <v>45688</v>
      </c>
      <c r="H292">
        <v>1.50698</v>
      </c>
      <c r="J292" s="15">
        <v>45688</v>
      </c>
      <c r="K292">
        <v>1.6684699999999999</v>
      </c>
      <c r="M292" s="15">
        <v>45688</v>
      </c>
      <c r="N292">
        <v>1.8358000000000001</v>
      </c>
      <c r="P292" s="12">
        <f t="shared" si="16"/>
        <v>0.91112719552209998</v>
      </c>
      <c r="Q292" s="12">
        <f t="shared" si="17"/>
        <v>1.4543331403204014</v>
      </c>
      <c r="R292" s="12">
        <f t="shared" si="18"/>
        <v>1.6101814321559544</v>
      </c>
      <c r="S292" s="12">
        <f t="shared" si="19"/>
        <v>1.7716657016020074</v>
      </c>
    </row>
    <row r="293" spans="1:19" x14ac:dyDescent="0.25">
      <c r="A293" s="15">
        <v>45716</v>
      </c>
      <c r="B293">
        <v>1.0375000000000001</v>
      </c>
      <c r="D293" s="15">
        <v>45716</v>
      </c>
      <c r="E293">
        <v>0.93706</v>
      </c>
      <c r="G293" s="15">
        <v>45716</v>
      </c>
      <c r="H293">
        <v>1.4999199999999999</v>
      </c>
      <c r="J293" s="15">
        <v>45716</v>
      </c>
      <c r="K293">
        <v>1.67103</v>
      </c>
      <c r="M293" s="15">
        <v>45716</v>
      </c>
      <c r="N293">
        <v>1.8532999999999999</v>
      </c>
      <c r="P293" s="12">
        <f t="shared" si="16"/>
        <v>0.90319036144578302</v>
      </c>
      <c r="Q293" s="12">
        <f t="shared" si="17"/>
        <v>1.4457060240963853</v>
      </c>
      <c r="R293" s="12">
        <f t="shared" si="18"/>
        <v>1.6106313253012048</v>
      </c>
      <c r="S293" s="12">
        <f t="shared" si="19"/>
        <v>1.786313253012048</v>
      </c>
    </row>
    <row r="294" spans="1:19" x14ac:dyDescent="0.25">
      <c r="A294" s="15">
        <v>45747</v>
      </c>
      <c r="B294">
        <v>1.0811999999999999</v>
      </c>
      <c r="D294" s="15">
        <v>45747</v>
      </c>
      <c r="E294">
        <v>0.95621999999999996</v>
      </c>
      <c r="G294" s="15">
        <v>45747</v>
      </c>
      <c r="H294">
        <v>1.5542100000000001</v>
      </c>
      <c r="J294" s="15">
        <v>45747</v>
      </c>
      <c r="K294">
        <v>1.7323200000000001</v>
      </c>
      <c r="M294" s="15">
        <v>45747</v>
      </c>
      <c r="N294">
        <v>1.9068000000000001</v>
      </c>
      <c r="P294" s="12">
        <f t="shared" si="16"/>
        <v>0.88440621531631525</v>
      </c>
      <c r="Q294" s="12">
        <f t="shared" si="17"/>
        <v>1.4374861265260823</v>
      </c>
      <c r="R294" s="12">
        <f t="shared" si="18"/>
        <v>1.6022197558268592</v>
      </c>
      <c r="S294" s="12">
        <f t="shared" si="19"/>
        <v>1.7635960044395118</v>
      </c>
    </row>
    <row r="295" spans="1:19" x14ac:dyDescent="0.25">
      <c r="A295" s="15">
        <v>45777</v>
      </c>
      <c r="B295">
        <v>1.1355999999999999</v>
      </c>
      <c r="D295" s="15">
        <v>45777</v>
      </c>
      <c r="E295">
        <v>0.93371999999999999</v>
      </c>
      <c r="G295" s="15">
        <v>45777</v>
      </c>
      <c r="H295">
        <v>1.56795</v>
      </c>
      <c r="J295" s="15">
        <v>45777</v>
      </c>
      <c r="K295">
        <v>1.7756799999999999</v>
      </c>
      <c r="M295" s="15">
        <v>45777</v>
      </c>
      <c r="N295">
        <v>1.9142999999999999</v>
      </c>
      <c r="P295" s="12">
        <f t="shared" si="16"/>
        <v>0.82222613596336747</v>
      </c>
      <c r="Q295" s="12">
        <f t="shared" si="17"/>
        <v>1.3807238464247975</v>
      </c>
      <c r="R295" s="12">
        <f t="shared" si="18"/>
        <v>1.5636491722437478</v>
      </c>
      <c r="S295" s="12">
        <f t="shared" si="19"/>
        <v>1.6857168016907362</v>
      </c>
    </row>
    <row r="296" spans="1:19" x14ac:dyDescent="0.25">
      <c r="A296" s="15">
        <v>45807</v>
      </c>
      <c r="B296">
        <v>1.1347</v>
      </c>
      <c r="D296" s="15">
        <v>45807</v>
      </c>
      <c r="E296">
        <v>0.93325000000000002</v>
      </c>
      <c r="G296" s="15">
        <v>45807</v>
      </c>
      <c r="H296">
        <v>1.5596099999999999</v>
      </c>
      <c r="J296" s="15">
        <v>45807</v>
      </c>
      <c r="K296">
        <v>1.76433</v>
      </c>
      <c r="M296" s="15">
        <v>45807</v>
      </c>
      <c r="N296">
        <v>1.9025000000000001</v>
      </c>
      <c r="P296" s="12">
        <f t="shared" si="16"/>
        <v>0.82246408742398869</v>
      </c>
      <c r="Q296" s="12">
        <f t="shared" si="17"/>
        <v>1.3744690226491583</v>
      </c>
      <c r="R296" s="12">
        <f t="shared" si="18"/>
        <v>1.5548867542081606</v>
      </c>
      <c r="S296" s="12">
        <f t="shared" si="19"/>
        <v>1.6766546223671455</v>
      </c>
    </row>
    <row r="297" spans="1:19" x14ac:dyDescent="0.25">
      <c r="A297" s="15">
        <v>45838</v>
      </c>
      <c r="B297">
        <v>1.1762999999999999</v>
      </c>
      <c r="D297" s="15">
        <v>45838</v>
      </c>
      <c r="E297">
        <v>0.93420999999999998</v>
      </c>
      <c r="G297" s="15">
        <v>45838</v>
      </c>
      <c r="H297">
        <v>1.60284</v>
      </c>
      <c r="J297" s="15">
        <v>45838</v>
      </c>
      <c r="K297">
        <v>1.7896799999999999</v>
      </c>
      <c r="M297" s="15">
        <v>45838</v>
      </c>
      <c r="N297">
        <v>1.9315</v>
      </c>
      <c r="P297" s="12">
        <f t="shared" si="16"/>
        <v>0.79419365808042175</v>
      </c>
      <c r="Q297" s="12">
        <f t="shared" si="17"/>
        <v>1.3626115786789086</v>
      </c>
      <c r="R297" s="12">
        <f t="shared" si="18"/>
        <v>1.521448610048457</v>
      </c>
      <c r="S297" s="12">
        <f t="shared" si="19"/>
        <v>1.6420130918983253</v>
      </c>
    </row>
    <row r="298" spans="1:19" x14ac:dyDescent="0.25">
      <c r="A298" s="15">
        <v>45869</v>
      </c>
      <c r="B298">
        <v>1.1423000000000001</v>
      </c>
      <c r="D298" s="15">
        <v>45869</v>
      </c>
      <c r="E298">
        <v>0.92808999999999997</v>
      </c>
      <c r="G298" s="15">
        <v>45869</v>
      </c>
      <c r="H298">
        <v>1.58165</v>
      </c>
      <c r="J298" s="15">
        <v>45869</v>
      </c>
      <c r="K298">
        <v>1.776</v>
      </c>
      <c r="M298" s="15">
        <v>45869</v>
      </c>
      <c r="N298">
        <v>1.9374</v>
      </c>
      <c r="P298" s="12">
        <f t="shared" si="16"/>
        <v>0.8124748314803466</v>
      </c>
      <c r="Q298" s="12">
        <f t="shared" si="17"/>
        <v>1.384618751641425</v>
      </c>
      <c r="R298" s="12">
        <f t="shared" si="18"/>
        <v>1.5547579444979427</v>
      </c>
      <c r="S298" s="12">
        <f t="shared" si="19"/>
        <v>1.6960518252648165</v>
      </c>
    </row>
    <row r="299" spans="1:19" x14ac:dyDescent="0.25">
      <c r="A299" s="15">
        <v>45898</v>
      </c>
      <c r="B299">
        <v>1.1686000000000001</v>
      </c>
      <c r="D299" s="15">
        <v>45898</v>
      </c>
      <c r="E299">
        <v>0.93554000000000004</v>
      </c>
      <c r="G299" s="15">
        <v>45898</v>
      </c>
      <c r="H299">
        <v>1.60555</v>
      </c>
      <c r="J299" s="15">
        <v>45898</v>
      </c>
      <c r="K299">
        <v>1.7868299999999999</v>
      </c>
      <c r="M299" s="15">
        <v>45898</v>
      </c>
      <c r="N299">
        <v>1.9832000000000001</v>
      </c>
      <c r="P299" s="12">
        <f t="shared" si="16"/>
        <v>0.80056477836727702</v>
      </c>
      <c r="Q299" s="12">
        <f t="shared" si="17"/>
        <v>1.3739089508813964</v>
      </c>
      <c r="R299" s="12">
        <f t="shared" si="18"/>
        <v>1.5290347424268353</v>
      </c>
      <c r="S299" s="12">
        <f t="shared" si="19"/>
        <v>1.6970734211877461</v>
      </c>
    </row>
    <row r="300" spans="1:19" x14ac:dyDescent="0.25">
      <c r="A300" s="15">
        <v>45930</v>
      </c>
      <c r="B300">
        <v>1.1757</v>
      </c>
      <c r="D300" s="15">
        <v>45930</v>
      </c>
      <c r="E300">
        <v>0.93423999999999996</v>
      </c>
      <c r="G300" s="15">
        <v>45930</v>
      </c>
      <c r="H300">
        <v>1.63662</v>
      </c>
      <c r="J300" s="15">
        <v>45930</v>
      </c>
      <c r="K300">
        <v>1.77607</v>
      </c>
      <c r="M300" s="15">
        <v>45930</v>
      </c>
      <c r="N300">
        <v>2.0266000000000002</v>
      </c>
      <c r="P300" s="12">
        <f t="shared" si="16"/>
        <v>0.79462447903376709</v>
      </c>
      <c r="Q300" s="12">
        <f t="shared" si="17"/>
        <v>1.3920387854044398</v>
      </c>
      <c r="R300" s="12">
        <f t="shared" si="18"/>
        <v>1.5106489750786767</v>
      </c>
      <c r="S300" s="12">
        <f t="shared" si="19"/>
        <v>1.7237390490771458</v>
      </c>
    </row>
    <row r="301" spans="1:19" x14ac:dyDescent="0.25">
      <c r="A301" s="15">
        <v>45961</v>
      </c>
      <c r="B301">
        <v>1.1536999999999999</v>
      </c>
      <c r="D301" s="15">
        <v>45961</v>
      </c>
      <c r="E301">
        <v>0.92830000000000001</v>
      </c>
      <c r="G301" s="15">
        <v>45961</v>
      </c>
      <c r="H301">
        <v>1.6162300000000001</v>
      </c>
      <c r="J301" s="15">
        <v>45961</v>
      </c>
      <c r="K301">
        <v>1.7629999999999999</v>
      </c>
      <c r="M301" s="15">
        <v>45961</v>
      </c>
      <c r="N301">
        <v>2.0165000000000002</v>
      </c>
      <c r="P301" s="12">
        <f t="shared" si="16"/>
        <v>0.80462858628759648</v>
      </c>
      <c r="Q301" s="12">
        <f t="shared" si="17"/>
        <v>1.4009101152812691</v>
      </c>
      <c r="R301" s="12">
        <f t="shared" si="18"/>
        <v>1.5281268960735026</v>
      </c>
      <c r="S301" s="12">
        <f t="shared" si="19"/>
        <v>1.7478547282655805</v>
      </c>
    </row>
    <row r="302" spans="1:19" x14ac:dyDescent="0.25">
      <c r="A302" s="15">
        <v>45989</v>
      </c>
      <c r="B302">
        <v>1.1597999999999999</v>
      </c>
      <c r="D302" s="15">
        <v>45989</v>
      </c>
      <c r="E302">
        <v>0.93215999999999999</v>
      </c>
      <c r="G302" s="15">
        <v>45989</v>
      </c>
      <c r="H302">
        <v>1.6214500000000001</v>
      </c>
      <c r="J302" s="15">
        <v>45989</v>
      </c>
      <c r="K302">
        <v>1.7702100000000001</v>
      </c>
      <c r="M302" s="15">
        <v>45989</v>
      </c>
      <c r="N302">
        <v>2.0226999999999999</v>
      </c>
      <c r="P302" s="12">
        <f t="shared" si="16"/>
        <v>0.80372478013450599</v>
      </c>
      <c r="Q302" s="12">
        <f t="shared" si="17"/>
        <v>1.398042765994137</v>
      </c>
      <c r="R302" s="12">
        <f t="shared" si="18"/>
        <v>1.5263062596999484</v>
      </c>
      <c r="S302" s="12">
        <f t="shared" si="19"/>
        <v>1.7440075875150889</v>
      </c>
    </row>
    <row r="303" spans="1:19" x14ac:dyDescent="0.25">
      <c r="A303" s="15">
        <v>46022</v>
      </c>
      <c r="B303">
        <v>1.1736</v>
      </c>
      <c r="D303" s="15">
        <v>46022</v>
      </c>
      <c r="E303">
        <v>0.93120000000000003</v>
      </c>
      <c r="G303" s="15">
        <v>46022</v>
      </c>
      <c r="H303">
        <v>1.60998</v>
      </c>
      <c r="J303" s="15">
        <v>46022</v>
      </c>
      <c r="K303">
        <v>1.7590300000000001</v>
      </c>
      <c r="M303" s="15">
        <v>46022</v>
      </c>
      <c r="N303">
        <v>2.0394999999999999</v>
      </c>
      <c r="P303" s="12">
        <f t="shared" si="16"/>
        <v>0.79345603271983645</v>
      </c>
      <c r="Q303" s="12">
        <f t="shared" si="17"/>
        <v>1.3718302658486707</v>
      </c>
      <c r="R303" s="12">
        <f t="shared" si="18"/>
        <v>1.4988326516700752</v>
      </c>
      <c r="S303" s="12">
        <f t="shared" si="19"/>
        <v>1.737815269256987</v>
      </c>
    </row>
    <row r="304" spans="1:19" x14ac:dyDescent="0.25">
      <c r="A304" s="15">
        <v>46052</v>
      </c>
      <c r="B304">
        <v>1.1851</v>
      </c>
      <c r="D304" s="15">
        <v>46052</v>
      </c>
      <c r="E304">
        <v>0.91632000000000002</v>
      </c>
      <c r="G304" s="15">
        <v>46052</v>
      </c>
      <c r="H304">
        <v>1.6133</v>
      </c>
      <c r="J304" s="15">
        <v>46052</v>
      </c>
      <c r="K304">
        <v>1.70197</v>
      </c>
      <c r="M304" s="15">
        <v>46052</v>
      </c>
      <c r="N304">
        <v>1.9682999999999999</v>
      </c>
      <c r="P304" s="12">
        <f t="shared" si="16"/>
        <v>0.77320057379124119</v>
      </c>
      <c r="Q304" s="12">
        <f t="shared" si="17"/>
        <v>1.3613197198548646</v>
      </c>
      <c r="R304" s="12">
        <f t="shared" si="18"/>
        <v>1.4361404100919752</v>
      </c>
      <c r="S304" s="12">
        <f t="shared" si="19"/>
        <v>1.6608725002109526</v>
      </c>
    </row>
    <row r="305" spans="1:19" x14ac:dyDescent="0.25">
      <c r="A305" s="15">
        <v>46080</v>
      </c>
      <c r="B305">
        <v>1.1812</v>
      </c>
      <c r="D305" s="15">
        <v>46080</v>
      </c>
      <c r="E305">
        <v>0.90852999999999995</v>
      </c>
      <c r="G305" s="15">
        <v>46080</v>
      </c>
      <c r="H305">
        <v>1.6115999999999999</v>
      </c>
      <c r="J305" s="15">
        <v>46080</v>
      </c>
      <c r="K305">
        <v>1.6593899999999999</v>
      </c>
      <c r="M305" s="15">
        <v>46080</v>
      </c>
      <c r="N305">
        <v>1.9701</v>
      </c>
      <c r="P305" s="12">
        <f t="shared" si="16"/>
        <v>0.769158482898747</v>
      </c>
      <c r="Q305" s="12">
        <f t="shared" si="17"/>
        <v>1.3643752116491703</v>
      </c>
      <c r="R305" s="12">
        <f t="shared" si="18"/>
        <v>1.4048340670504571</v>
      </c>
      <c r="S305" s="12">
        <f t="shared" si="19"/>
        <v>1.667880121909922</v>
      </c>
    </row>
    <row r="306" spans="1:19" x14ac:dyDescent="0.25">
      <c r="A306" s="15">
        <v>46112</v>
      </c>
      <c r="B306">
        <v>1.1540999999999999</v>
      </c>
      <c r="D306" s="15">
        <v>46112</v>
      </c>
      <c r="E306">
        <v>0.92454000000000003</v>
      </c>
      <c r="G306" s="15">
        <v>46112</v>
      </c>
      <c r="H306">
        <v>1.60806</v>
      </c>
      <c r="J306" s="15">
        <v>46112</v>
      </c>
      <c r="K306">
        <v>1.67611</v>
      </c>
      <c r="M306" s="15">
        <v>46112</v>
      </c>
      <c r="N306">
        <v>2.0142000000000002</v>
      </c>
      <c r="P306" s="12">
        <f t="shared" si="16"/>
        <v>0.80109175981284131</v>
      </c>
      <c r="Q306" s="12">
        <f t="shared" si="17"/>
        <v>1.3933454639979206</v>
      </c>
      <c r="R306" s="12">
        <f t="shared" si="18"/>
        <v>1.4523091586517634</v>
      </c>
      <c r="S306" s="12">
        <f t="shared" si="19"/>
        <v>1.7452560436703928</v>
      </c>
    </row>
    <row r="307" spans="1:19" x14ac:dyDescent="0.25">
      <c r="A307" s="15">
        <v>46142</v>
      </c>
      <c r="B307">
        <v>1.1726000000000001</v>
      </c>
      <c r="D307" s="15">
        <v>46142</v>
      </c>
      <c r="E307">
        <v>0.91754999999999998</v>
      </c>
      <c r="G307" s="15">
        <v>46142</v>
      </c>
      <c r="H307">
        <v>1.5958699999999999</v>
      </c>
      <c r="J307" s="15">
        <v>46142</v>
      </c>
      <c r="K307">
        <v>1.6325799999999999</v>
      </c>
      <c r="M307" s="15">
        <v>46142</v>
      </c>
      <c r="N307">
        <v>1.9903</v>
      </c>
      <c r="P307" s="12">
        <f t="shared" si="16"/>
        <v>0.78249189834555677</v>
      </c>
      <c r="Q307" s="12">
        <f t="shared" si="17"/>
        <v>1.3609670816987889</v>
      </c>
      <c r="R307" s="12">
        <f t="shared" si="18"/>
        <v>1.392273580078458</v>
      </c>
      <c r="S307" s="12">
        <f t="shared" si="19"/>
        <v>1.6973392461197339</v>
      </c>
    </row>
    <row r="308" spans="1:19" x14ac:dyDescent="0.25">
      <c r="A308" s="15">
        <v>46171</v>
      </c>
      <c r="B308">
        <v>1.1658999999999999</v>
      </c>
      <c r="D308" s="15">
        <v>46171</v>
      </c>
      <c r="E308">
        <v>0.91047</v>
      </c>
      <c r="G308" s="15">
        <v>46171</v>
      </c>
      <c r="H308">
        <v>1.6081300000000001</v>
      </c>
      <c r="J308" s="15">
        <v>46171</v>
      </c>
      <c r="K308">
        <v>1.6221099999999999</v>
      </c>
      <c r="M308" s="15">
        <v>46171</v>
      </c>
      <c r="N308">
        <v>1.9486000000000001</v>
      </c>
      <c r="P308" s="12">
        <f t="shared" si="16"/>
        <v>0.78091603053435121</v>
      </c>
      <c r="Q308" s="12">
        <f t="shared" si="17"/>
        <v>1.3793035423278155</v>
      </c>
      <c r="R308" s="12">
        <f t="shared" si="18"/>
        <v>1.3912942790976928</v>
      </c>
      <c r="S308" s="12">
        <f t="shared" si="19"/>
        <v>1.6713268719444208</v>
      </c>
    </row>
    <row r="309" spans="1:19" x14ac:dyDescent="0.25">
      <c r="A309" s="15">
        <v>46203</v>
      </c>
      <c r="B309">
        <v>1.1414</v>
      </c>
      <c r="D309" s="15">
        <v>46203</v>
      </c>
      <c r="E309">
        <v>0.92303999999999997</v>
      </c>
      <c r="G309" s="15">
        <v>46203</v>
      </c>
      <c r="H309">
        <v>1.6217299999999999</v>
      </c>
      <c r="J309" s="15">
        <v>46203</v>
      </c>
      <c r="K309">
        <v>1.65137</v>
      </c>
      <c r="M309" s="15">
        <v>46203</v>
      </c>
      <c r="N309">
        <v>2.0118999999999998</v>
      </c>
      <c r="P309" s="12">
        <f t="shared" si="16"/>
        <v>0.80869108112843879</v>
      </c>
      <c r="Q309" s="12">
        <f t="shared" si="17"/>
        <v>1.4208253022603818</v>
      </c>
      <c r="R309" s="12">
        <f t="shared" si="18"/>
        <v>1.4467934115997898</v>
      </c>
      <c r="S309" s="12">
        <f t="shared" si="19"/>
        <v>1.7626598913614857</v>
      </c>
    </row>
    <row r="310" spans="1:19" x14ac:dyDescent="0.25">
      <c r="A310" s="15">
        <v>46234</v>
      </c>
      <c r="B310">
        <v>1.1527000000000001</v>
      </c>
      <c r="D310" s="15">
        <v>46234</v>
      </c>
      <c r="E310">
        <v>0.93035999999999996</v>
      </c>
      <c r="G310" s="15">
        <v>46234</v>
      </c>
      <c r="H310">
        <v>1.6157900000000001</v>
      </c>
      <c r="J310" s="15">
        <v>46234</v>
      </c>
      <c r="K310">
        <v>1.64276</v>
      </c>
      <c r="M310" s="15">
        <v>46234</v>
      </c>
      <c r="N310">
        <v>1.9608000000000001</v>
      </c>
      <c r="P310" s="12">
        <f t="shared" si="16"/>
        <v>0.80711373297475486</v>
      </c>
      <c r="Q310" s="12">
        <f t="shared" si="17"/>
        <v>1.4017437321072266</v>
      </c>
      <c r="R310" s="12">
        <f t="shared" si="18"/>
        <v>1.4251409733668776</v>
      </c>
      <c r="S310" s="12">
        <f t="shared" si="19"/>
        <v>1.7010497093779822</v>
      </c>
    </row>
    <row r="311" spans="1:19" x14ac:dyDescent="0.25">
      <c r="P311" s="12" t="str">
        <f t="shared" si="16"/>
        <v/>
      </c>
      <c r="Q311" s="12" t="str">
        <f t="shared" si="17"/>
        <v/>
      </c>
      <c r="R311" s="12" t="str">
        <f t="shared" si="18"/>
        <v/>
      </c>
      <c r="S311" s="12" t="str">
        <f t="shared" si="19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d7638496-c3f6-46d8-9873-076f95c8121f}" enabled="1" method="Privileged" siteId="{c1f94f0d-9a3d-4854-9288-bb90dcf2a90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Bund_yields</vt:lpstr>
      <vt:lpstr>FX_round2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Aaten, Thijs</cp:lastModifiedBy>
  <cp:revision>0</cp:revision>
  <dcterms:created xsi:type="dcterms:W3CDTF">2026-08-24T08:33:31Z</dcterms:created>
  <dcterms:modified xsi:type="dcterms:W3CDTF">2026-08-24T09:04:06Z</dcterms:modified>
  <dc:language>en-US</dc:language>
</cp:coreProperties>
</file>